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진행현황" sheetId="1" state="visible" r:id="rId3"/>
    <sheet name="01_기본정보" sheetId="2" state="visible" r:id="rId4"/>
    <sheet name="02_부가정보" sheetId="3" state="visible" r:id="rId5"/>
    <sheet name="03_영업시간" sheetId="4" state="visible" r:id="rId6"/>
    <sheet name="04_시술마스터" sheetId="5" state="visible" r:id="rId7"/>
    <sheet name="05_패키지" sheetId="6" state="visible" r:id="rId8"/>
    <sheet name="06_예약상품" sheetId="7" state="visible" r:id="rId9"/>
    <sheet name="07_예약설정" sheetId="8" state="visible" r:id="rId10"/>
    <sheet name="08_스마트콜" sheetId="9" state="visible" r:id="rId11"/>
    <sheet name="09_이미지" sheetId="10" state="visible" r:id="rId12"/>
    <sheet name="10_변경이력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<sst xmlns="http://schemas.openxmlformats.org/spreadsheetml/2006/main" count="847" uniqueCount="457">
  <si>
    <t xml:space="preserve">스마트플레이스 세팅 정보 수집 시트</t>
  </si>
  <si>
    <r>
      <rPr>
        <sz val="9"/>
        <color rgb="FF7F7F7F"/>
        <rFont val="Noto Sans CJK SC"/>
        <family val="2"/>
      </rPr>
      <t xml:space="preserve">피부관리샵 전용 </t>
    </r>
    <r>
      <rPr>
        <sz val="9"/>
        <color rgb="FF7F7F7F"/>
        <rFont val="맑은 고딕"/>
        <family val="0"/>
        <charset val="1"/>
      </rPr>
      <t xml:space="preserve">· </t>
    </r>
    <r>
      <rPr>
        <sz val="9"/>
        <color rgb="FF7F7F7F"/>
        <rFont val="Noto Sans CJK SC"/>
        <family val="2"/>
      </rPr>
      <t xml:space="preserve">노란 칸에만 입력하시면 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회색 칸은 자동으로 계산됩니다</t>
    </r>
    <r>
      <rPr>
        <sz val="9"/>
        <color rgb="FF7F7F7F"/>
        <rFont val="맑은 고딕"/>
        <family val="0"/>
        <charset val="1"/>
      </rPr>
      <t xml:space="preserve">.</t>
    </r>
  </si>
  <si>
    <t xml:space="preserve">입력 방법 안내</t>
  </si>
  <si>
    <t xml:space="preserve">노란 칸</t>
  </si>
  <si>
    <r>
      <rPr>
        <sz val="10"/>
        <rFont val="Noto Sans CJK SC"/>
        <family val="2"/>
      </rPr>
      <t xml:space="preserve">직접 입력하는 칸입니다</t>
    </r>
    <r>
      <rPr>
        <sz val="10"/>
        <rFont val="맑은 고딕"/>
        <family val="0"/>
        <charset val="1"/>
      </rPr>
      <t xml:space="preserve">.</t>
    </r>
  </si>
  <si>
    <t xml:space="preserve">회색 칸</t>
  </si>
  <si>
    <r>
      <rPr>
        <sz val="10"/>
        <rFont val="Noto Sans CJK SC"/>
        <family val="2"/>
      </rPr>
      <t xml:space="preserve">자동 계산되는 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수정하지 마세요</t>
    </r>
    <r>
      <rPr>
        <sz val="10"/>
        <rFont val="맑은 고딕"/>
        <family val="0"/>
        <charset val="1"/>
      </rPr>
      <t xml:space="preserve">.</t>
    </r>
  </si>
  <si>
    <t xml:space="preserve">회색 기울임 행</t>
  </si>
  <si>
    <r>
      <rPr>
        <sz val="10"/>
        <rFont val="Noto Sans CJK SC"/>
        <family val="2"/>
      </rPr>
      <t xml:space="preserve">각 시트 맨 윗줄의 예시입니다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지우지 말고 그 아래부터 입력해 주세요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</si>
  <si>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필수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Noto Sans CJK SC"/>
        <family val="2"/>
      </rPr>
      <t xml:space="preserve">표시 항목</t>
    </r>
  </si>
  <si>
    <r>
      <rPr>
        <sz val="10"/>
        <rFont val="Noto Sans CJK SC"/>
        <family val="2"/>
      </rPr>
      <t xml:space="preserve">이 항목이 비어 있으면 세팅을 시작할 수 없습니다</t>
    </r>
    <r>
      <rPr>
        <sz val="10"/>
        <rFont val="맑은 고딕"/>
        <family val="0"/>
        <charset val="1"/>
      </rPr>
      <t xml:space="preserve">.</t>
    </r>
  </si>
  <si>
    <t xml:space="preserve">모르는 항목</t>
  </si>
  <si>
    <r>
      <rPr>
        <sz val="10"/>
        <rFont val="Noto Sans CJK SC"/>
        <family val="2"/>
      </rPr>
      <t xml:space="preserve">비워두고 상태를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상담필요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선택해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임의로 채우지 마세요</t>
    </r>
    <r>
      <rPr>
        <sz val="10"/>
        <rFont val="맑은 고딕"/>
        <family val="0"/>
        <charset val="1"/>
      </rPr>
      <t xml:space="preserve">.</t>
    </r>
  </si>
  <si>
    <t xml:space="preserve">중간 저장</t>
  </si>
  <si>
    <r>
      <rPr>
        <sz val="10"/>
        <rFont val="Noto Sans CJK SC"/>
        <family val="2"/>
      </rPr>
      <t xml:space="preserve">작성 도중 닫으셔도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받으신 링크로 다시 들어오면 이어서 작성할 수 있습니다</t>
    </r>
    <r>
      <rPr>
        <sz val="10"/>
        <rFont val="맑은 고딕"/>
        <family val="0"/>
        <charset val="1"/>
      </rPr>
      <t xml:space="preserve">.</t>
    </r>
  </si>
  <si>
    <t xml:space="preserve">업체 식별 정보</t>
  </si>
  <si>
    <t xml:space="preserve">업체명</t>
  </si>
  <si>
    <t xml:space="preserve">자동</t>
  </si>
  <si>
    <r>
      <rPr>
        <sz val="9"/>
        <color rgb="FF7F7F7F"/>
        <rFont val="Noto Sans CJK SC"/>
        <family val="2"/>
      </rPr>
      <t xml:space="preserve">진입 화면에서 입력 </t>
    </r>
    <r>
      <rPr>
        <sz val="9"/>
        <color rgb="FF7F7F7F"/>
        <rFont val="맑은 고딕"/>
        <family val="0"/>
        <charset val="1"/>
      </rPr>
      <t xml:space="preserve">· 01_</t>
    </r>
    <r>
      <rPr>
        <sz val="9"/>
        <color rgb="FF7F7F7F"/>
        <rFont val="Noto Sans CJK SC"/>
        <family val="2"/>
      </rPr>
      <t xml:space="preserve">기본정보와 연동</t>
    </r>
  </si>
  <si>
    <t xml:space="preserve">대표자명</t>
  </si>
  <si>
    <t xml:space="preserve">본인확인 번호</t>
  </si>
  <si>
    <r>
      <rPr>
        <sz val="9"/>
        <color rgb="FF7F7F7F"/>
        <rFont val="Noto Sans CJK SC"/>
        <family val="2"/>
      </rPr>
      <t xml:space="preserve">휴대폰 뒷 </t>
    </r>
    <r>
      <rPr>
        <sz val="9"/>
        <color rgb="FF7F7F7F"/>
        <rFont val="맑은 고딕"/>
        <family val="0"/>
        <charset val="1"/>
      </rPr>
      <t xml:space="preserve">4</t>
    </r>
    <r>
      <rPr>
        <sz val="9"/>
        <color rgb="FF7F7F7F"/>
        <rFont val="Noto Sans CJK SC"/>
        <family val="2"/>
      </rPr>
      <t xml:space="preserve">자리 </t>
    </r>
    <r>
      <rPr>
        <sz val="9"/>
        <color rgb="FF7F7F7F"/>
        <rFont val="맑은 고딕"/>
        <family val="0"/>
        <charset val="1"/>
      </rPr>
      <t xml:space="preserve">· </t>
    </r>
    <r>
      <rPr>
        <sz val="9"/>
        <color rgb="FF7F7F7F"/>
        <rFont val="Noto Sans CJK SC"/>
        <family val="2"/>
      </rPr>
      <t xml:space="preserve">재진입 시 본인 확인에 사용</t>
    </r>
  </si>
  <si>
    <r>
      <rPr>
        <sz val="10"/>
        <rFont val="Noto Sans CJK SC"/>
        <family val="2"/>
      </rPr>
      <t xml:space="preserve">세팅 </t>
    </r>
    <r>
      <rPr>
        <sz val="10"/>
        <rFont val="맑은 고딕"/>
        <family val="0"/>
        <charset val="1"/>
      </rPr>
      <t xml:space="preserve">ID</t>
    </r>
  </si>
  <si>
    <r>
      <rPr>
        <sz val="9"/>
        <color rgb="FF7F7F7F"/>
        <rFont val="Noto Sans CJK SC"/>
        <family val="2"/>
      </rPr>
      <t xml:space="preserve">업체명</t>
    </r>
    <r>
      <rPr>
        <sz val="9"/>
        <color rgb="FF7F7F7F"/>
        <rFont val="맑은 고딕"/>
        <family val="0"/>
        <charset val="1"/>
      </rPr>
      <t xml:space="preserve">_</t>
    </r>
    <r>
      <rPr>
        <sz val="9"/>
        <color rgb="FF7F7F7F"/>
        <rFont val="Noto Sans CJK SC"/>
        <family val="2"/>
      </rPr>
      <t xml:space="preserve">대표자명</t>
    </r>
    <r>
      <rPr>
        <sz val="9"/>
        <color rgb="FF7F7F7F"/>
        <rFont val="맑은 고딕"/>
        <family val="0"/>
        <charset val="1"/>
      </rPr>
      <t xml:space="preserve">_</t>
    </r>
    <r>
      <rPr>
        <sz val="9"/>
        <color rgb="FF7F7F7F"/>
        <rFont val="Noto Sans CJK SC"/>
        <family val="2"/>
      </rPr>
      <t xml:space="preserve">휴대폰뒷</t>
    </r>
    <r>
      <rPr>
        <sz val="9"/>
        <color rgb="FF7F7F7F"/>
        <rFont val="맑은 고딕"/>
        <family val="0"/>
        <charset val="1"/>
      </rPr>
      <t xml:space="preserve">4</t>
    </r>
    <r>
      <rPr>
        <sz val="9"/>
        <color rgb="FF7F7F7F"/>
        <rFont val="Noto Sans CJK SC"/>
        <family val="2"/>
      </rPr>
      <t xml:space="preserve">자리 </t>
    </r>
    <r>
      <rPr>
        <sz val="9"/>
        <color rgb="FF7F7F7F"/>
        <rFont val="맑은 고딕"/>
        <family val="0"/>
        <charset val="1"/>
      </rPr>
      <t xml:space="preserve">· </t>
    </r>
    <r>
      <rPr>
        <sz val="9"/>
        <color rgb="FF7F7F7F"/>
        <rFont val="Noto Sans CJK SC"/>
        <family val="2"/>
      </rPr>
      <t xml:space="preserve">자동 생성 </t>
    </r>
    <r>
      <rPr>
        <sz val="9"/>
        <color rgb="FF7F7F7F"/>
        <rFont val="맑은 고딕"/>
        <family val="0"/>
        <charset val="1"/>
      </rPr>
      <t xml:space="preserve">· </t>
    </r>
    <r>
      <rPr>
        <sz val="9"/>
        <color rgb="FF7F7F7F"/>
        <rFont val="Noto Sans CJK SC"/>
        <family val="2"/>
      </rPr>
      <t xml:space="preserve">동명이인 구분에 사용</t>
    </r>
  </si>
  <si>
    <t xml:space="preserve">최초 제출일</t>
  </si>
  <si>
    <t xml:space="preserve">담당자 기입</t>
  </si>
  <si>
    <t xml:space="preserve">최종 수정일</t>
  </si>
  <si>
    <t xml:space="preserve">제출 버전</t>
  </si>
  <si>
    <r>
      <rPr>
        <sz val="9"/>
        <color rgb="FF7F7F7F"/>
        <rFont val="맑은 고딕"/>
        <family val="0"/>
        <charset val="1"/>
      </rPr>
      <t xml:space="preserve">1, 2, 3... </t>
    </r>
    <r>
      <rPr>
        <sz val="9"/>
        <color rgb="FF7F7F7F"/>
        <rFont val="Noto Sans CJK SC"/>
        <family val="2"/>
      </rPr>
      <t xml:space="preserve">수정 제출할 때마다 올라갑니다</t>
    </r>
  </si>
  <si>
    <t xml:space="preserve">처리 상태</t>
  </si>
  <si>
    <r>
      <rPr>
        <sz val="9"/>
        <color rgb="FF7F7F7F"/>
        <rFont val="Noto Sans CJK SC"/>
        <family val="2"/>
      </rPr>
      <t xml:space="preserve">접수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작업중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완료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변경요청</t>
    </r>
  </si>
  <si>
    <t xml:space="preserve">담당자</t>
  </si>
  <si>
    <t xml:space="preserve">알림 수신 메일</t>
  </si>
  <si>
    <r>
      <rPr>
        <sz val="9"/>
        <color rgb="FF7F7F7F"/>
        <rFont val="Noto Sans CJK SC"/>
        <family val="2"/>
      </rPr>
      <t xml:space="preserve">제출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수정 시 알림을 받을 주소</t>
    </r>
  </si>
  <si>
    <t xml:space="preserve">단계별 작성 현황</t>
  </si>
  <si>
    <t xml:space="preserve">단계</t>
  </si>
  <si>
    <t xml:space="preserve">시트</t>
  </si>
  <si>
    <t xml:space="preserve">필수 여부</t>
  </si>
  <si>
    <t xml:space="preserve">입력 건수</t>
  </si>
  <si>
    <t xml:space="preserve">작성 상태</t>
  </si>
  <si>
    <t xml:space="preserve">비고</t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</si>
  <si>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기본정보</t>
    </r>
  </si>
  <si>
    <r>
      <rPr>
        <sz val="10"/>
        <rFont val="맑은 고딕"/>
        <family val="0"/>
        <charset val="1"/>
      </rPr>
      <t xml:space="preserve">01_</t>
    </r>
    <r>
      <rPr>
        <sz val="10"/>
        <rFont val="Noto Sans CJK SC"/>
        <family val="2"/>
      </rPr>
      <t xml:space="preserve">기본정보</t>
    </r>
  </si>
  <si>
    <t xml:space="preserve">필수</t>
  </si>
  <si>
    <r>
      <rPr>
        <sz val="9"/>
        <color rgb="FF7F7F7F"/>
        <rFont val="Noto Sans CJK SC"/>
        <family val="2"/>
      </rPr>
      <t xml:space="preserve">상호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주소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전화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대표자명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홍보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상세설명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키워드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</si>
  <si>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부가정보</t>
    </r>
  </si>
  <si>
    <r>
      <rPr>
        <sz val="10"/>
        <rFont val="맑은 고딕"/>
        <family val="0"/>
        <charset val="1"/>
      </rPr>
      <t xml:space="preserve">02_</t>
    </r>
    <r>
      <rPr>
        <sz val="10"/>
        <rFont val="Noto Sans CJK SC"/>
        <family val="2"/>
      </rPr>
      <t xml:space="preserve">부가정보</t>
    </r>
  </si>
  <si>
    <t xml:space="preserve">권장</t>
  </si>
  <si>
    <r>
      <rPr>
        <sz val="9"/>
        <color rgb="FF7F7F7F"/>
        <rFont val="Noto Sans CJK SC"/>
        <family val="2"/>
      </rPr>
      <t xml:space="preserve">시설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주차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장애인 편의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결제수단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</si>
  <si>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영업시간</t>
    </r>
  </si>
  <si>
    <r>
      <rPr>
        <sz val="10"/>
        <rFont val="맑은 고딕"/>
        <family val="0"/>
        <charset val="1"/>
      </rPr>
      <t xml:space="preserve">03_</t>
    </r>
    <r>
      <rPr>
        <sz val="10"/>
        <rFont val="Noto Sans CJK SC"/>
        <family val="2"/>
      </rPr>
      <t xml:space="preserve">영업시간</t>
    </r>
  </si>
  <si>
    <t xml:space="preserve">요일별 오픈 시각 기준</t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</si>
  <si>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시술메뉴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</si>
  <si>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시술마스터</t>
    </r>
  </si>
  <si>
    <t xml:space="preserve">등록된 시술 수</t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</si>
  <si>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패키지</t>
    </r>
  </si>
  <si>
    <r>
      <rPr>
        <sz val="10"/>
        <rFont val="맑은 고딕"/>
        <family val="0"/>
        <charset val="1"/>
      </rPr>
      <t xml:space="preserve">05_</t>
    </r>
    <r>
      <rPr>
        <sz val="10"/>
        <rFont val="Noto Sans CJK SC"/>
        <family val="2"/>
      </rPr>
      <t xml:space="preserve">패키지</t>
    </r>
  </si>
  <si>
    <t xml:space="preserve">선택</t>
  </si>
  <si>
    <t xml:space="preserve">묶음 상품이 있을 때만</t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</si>
  <si>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예약상품</t>
    </r>
  </si>
  <si>
    <r>
      <rPr>
        <sz val="10"/>
        <rFont val="맑은 고딕"/>
        <family val="0"/>
        <charset val="1"/>
      </rPr>
      <t xml:space="preserve">06_</t>
    </r>
    <r>
      <rPr>
        <sz val="10"/>
        <rFont val="Noto Sans CJK SC"/>
        <family val="2"/>
      </rPr>
      <t xml:space="preserve">예약상품</t>
    </r>
  </si>
  <si>
    <t xml:space="preserve">예약을 받을 경우 필수</t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</si>
  <si>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예약설정</t>
    </r>
  </si>
  <si>
    <r>
      <rPr>
        <sz val="10"/>
        <rFont val="맑은 고딕"/>
        <family val="0"/>
        <charset val="1"/>
      </rPr>
      <t xml:space="preserve">07_</t>
    </r>
    <r>
      <rPr>
        <sz val="10"/>
        <rFont val="Noto Sans CJK SC"/>
        <family val="2"/>
      </rPr>
      <t xml:space="preserve">예약설정</t>
    </r>
  </si>
  <si>
    <r>
      <rPr>
        <sz val="9"/>
        <color rgb="FF7F7F7F"/>
        <rFont val="Noto Sans CJK SC"/>
        <family val="2"/>
      </rPr>
      <t xml:space="preserve">운영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첫방문이벤트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쿠폰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신규확인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알림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정보요청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</si>
  <si>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스마트콜</t>
    </r>
  </si>
  <si>
    <r>
      <rPr>
        <sz val="10"/>
        <rFont val="맑은 고딕"/>
        <family val="0"/>
        <charset val="1"/>
      </rPr>
      <t xml:space="preserve">08_</t>
    </r>
    <r>
      <rPr>
        <sz val="10"/>
        <rFont val="Noto Sans CJK SC"/>
        <family val="2"/>
      </rPr>
      <t xml:space="preserve">스마트콜</t>
    </r>
  </si>
  <si>
    <r>
      <rPr>
        <sz val="9"/>
        <color rgb="FF7F7F7F"/>
        <rFont val="맑은 고딕"/>
        <family val="0"/>
        <charset val="1"/>
      </rPr>
      <t xml:space="preserve">0507 </t>
    </r>
    <r>
      <rPr>
        <sz val="9"/>
        <color rgb="FF7F7F7F"/>
        <rFont val="Noto Sans CJK SC"/>
        <family val="2"/>
      </rPr>
      <t xml:space="preserve">번호 </t>
    </r>
    <r>
      <rPr>
        <sz val="9"/>
        <color rgb="FF7F7F7F"/>
        <rFont val="맑은 고딕"/>
        <family val="0"/>
        <charset val="1"/>
      </rPr>
      <t xml:space="preserve">· 1</t>
    </r>
    <r>
      <rPr>
        <sz val="9"/>
        <color rgb="FF7F7F7F"/>
        <rFont val="Noto Sans CJK SC"/>
        <family val="2"/>
      </rPr>
      <t xml:space="preserve">차</t>
    </r>
    <r>
      <rPr>
        <sz val="9"/>
        <color rgb="FF7F7F7F"/>
        <rFont val="맑은 고딕"/>
        <family val="0"/>
        <charset val="1"/>
      </rPr>
      <t xml:space="preserve">/2</t>
    </r>
    <r>
      <rPr>
        <sz val="9"/>
        <color rgb="FF7F7F7F"/>
        <rFont val="Noto Sans CJK SC"/>
        <family val="2"/>
      </rPr>
      <t xml:space="preserve">차 착신 </t>
    </r>
    <r>
      <rPr>
        <sz val="9"/>
        <color rgb="FF7F7F7F"/>
        <rFont val="맑은 고딕"/>
        <family val="0"/>
        <charset val="1"/>
      </rPr>
      <t xml:space="preserve">· </t>
    </r>
    <r>
      <rPr>
        <sz val="9"/>
        <color rgb="FF7F7F7F"/>
        <rFont val="Noto Sans CJK SC"/>
        <family val="2"/>
      </rPr>
      <t xml:space="preserve">기본 문구</t>
    </r>
  </si>
  <si>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이미지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</si>
  <si>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이미지</t>
    </r>
  </si>
  <si>
    <r>
      <rPr>
        <sz val="9"/>
        <color rgb="FF7F7F7F"/>
        <rFont val="Noto Sans CJK SC"/>
        <family val="2"/>
      </rPr>
      <t xml:space="preserve">업체 사진 </t>
    </r>
    <r>
      <rPr>
        <sz val="9"/>
        <color rgb="FF7F7F7F"/>
        <rFont val="맑은 고딕"/>
        <family val="0"/>
        <charset val="1"/>
      </rPr>
      <t xml:space="preserve">+ </t>
    </r>
    <r>
      <rPr>
        <sz val="9"/>
        <color rgb="FF7F7F7F"/>
        <rFont val="Noto Sans CJK SC"/>
        <family val="2"/>
      </rPr>
      <t xml:space="preserve">예약 메인 </t>
    </r>
    <r>
      <rPr>
        <sz val="9"/>
        <color rgb="FF7F7F7F"/>
        <rFont val="맑은 고딕"/>
        <family val="0"/>
        <charset val="1"/>
      </rPr>
      <t xml:space="preserve">+ </t>
    </r>
    <r>
      <rPr>
        <sz val="9"/>
        <color rgb="FF7F7F7F"/>
        <rFont val="Noto Sans CJK SC"/>
        <family val="2"/>
      </rPr>
      <t xml:space="preserve">상품 이미지</t>
    </r>
  </si>
  <si>
    <t xml:space="preserve">전체 진행률</t>
  </si>
  <si>
    <r>
      <rPr>
        <sz val="9"/>
        <color rgb="FF7F7F7F"/>
        <rFont val="Noto Sans CJK SC"/>
        <family val="2"/>
      </rPr>
      <t xml:space="preserve">필수 단계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기본정보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영업시간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시술메뉴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이미지</t>
    </r>
    <r>
      <rPr>
        <sz val="9"/>
        <color rgb="FF7F7F7F"/>
        <rFont val="맑은 고딕"/>
        <family val="0"/>
        <charset val="1"/>
      </rPr>
      <t xml:space="preserve">)</t>
    </r>
    <r>
      <rPr>
        <sz val="9"/>
        <color rgb="FF7F7F7F"/>
        <rFont val="Noto Sans CJK SC"/>
        <family val="2"/>
      </rPr>
      <t xml:space="preserve">가 모두 채워지면 담당자에게 메일이 발송됩니다</t>
    </r>
  </si>
  <si>
    <r>
      <rPr>
        <b val="true"/>
        <sz val="14"/>
        <color rgb="FF1F3864"/>
        <rFont val="맑은 고딕"/>
        <family val="0"/>
        <charset val="1"/>
      </rPr>
      <t xml:space="preserve">01. </t>
    </r>
    <r>
      <rPr>
        <b val="true"/>
        <sz val="14"/>
        <color rgb="FF1F3864"/>
        <rFont val="Noto Sans CJK SC"/>
        <family val="2"/>
      </rPr>
      <t xml:space="preserve">기본정보</t>
    </r>
  </si>
  <si>
    <r>
      <rPr>
        <sz val="9"/>
        <color rgb="FF7F7F7F"/>
        <rFont val="Noto Sans CJK SC"/>
        <family val="2"/>
      </rPr>
      <t xml:space="preserve">노란 칸에 입력해 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모르거나 아직 정하지 않은 항목은 비워두고 상태를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상담필요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로 선택하시면 됩니다</t>
    </r>
    <r>
      <rPr>
        <sz val="9"/>
        <color rgb="FF7F7F7F"/>
        <rFont val="맑은 고딕"/>
        <family val="0"/>
        <charset val="1"/>
      </rPr>
      <t xml:space="preserve">.</t>
    </r>
  </si>
  <si>
    <t xml:space="preserve">구분</t>
  </si>
  <si>
    <t xml:space="preserve">항목</t>
  </si>
  <si>
    <t xml:space="preserve">입력값</t>
  </si>
  <si>
    <t xml:space="preserve">상태</t>
  </si>
  <si>
    <t xml:space="preserve">입력 안내</t>
  </si>
  <si>
    <t xml:space="preserve">업체 정보</t>
  </si>
  <si>
    <t xml:space="preserve">상호명</t>
  </si>
  <si>
    <r>
      <rPr>
        <sz val="9"/>
        <color rgb="FF7F7F7F"/>
        <rFont val="Noto Sans CJK SC"/>
        <family val="2"/>
      </rPr>
      <t xml:space="preserve">지역명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홍보문구 금지 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네이버 심사 반려 사유</t>
    </r>
    <r>
      <rPr>
        <sz val="9"/>
        <color rgb="FF7F7F7F"/>
        <rFont val="맑은 고딕"/>
        <family val="0"/>
        <charset val="1"/>
      </rPr>
      <t xml:space="preserve">). ❌ </t>
    </r>
    <r>
      <rPr>
        <sz val="9"/>
        <color rgb="FF7F7F7F"/>
        <rFont val="Noto Sans CJK SC"/>
        <family val="2"/>
      </rPr>
      <t xml:space="preserve">강남 최고 피부관리 라온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라온에스테틱</t>
    </r>
  </si>
  <si>
    <t xml:space="preserve">지점명</t>
  </si>
  <si>
    <r>
      <rPr>
        <sz val="9"/>
        <color rgb="FF7F7F7F"/>
        <rFont val="Noto Sans CJK SC"/>
        <family val="2"/>
      </rPr>
      <t xml:space="preserve">지점이 여러 개일 때만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강남점</t>
    </r>
  </si>
  <si>
    <t xml:space="preserve">위치</t>
  </si>
  <si>
    <r>
      <rPr>
        <sz val="10"/>
        <rFont val="Noto Sans CJK SC"/>
        <family val="2"/>
      </rPr>
      <t xml:space="preserve">주소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도로명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</si>
  <si>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우편번호 검색 결과 그대로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서울 강남구 테헤란로 </t>
    </r>
    <r>
      <rPr>
        <sz val="9"/>
        <color rgb="FF7F7F7F"/>
        <rFont val="맑은 고딕"/>
        <family val="0"/>
        <charset val="1"/>
      </rPr>
      <t xml:space="preserve">123</t>
    </r>
  </si>
  <si>
    <r>
      <rPr>
        <sz val="10"/>
        <rFont val="Noto Sans CJK SC"/>
        <family val="2"/>
      </rPr>
      <t xml:space="preserve">상세주소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</si>
  <si>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상가 입점이 대부분이라 층수 필수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대한빌딩 </t>
    </r>
    <r>
      <rPr>
        <sz val="9"/>
        <color rgb="FF7F7F7F"/>
        <rFont val="맑은 고딕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층 </t>
    </r>
    <r>
      <rPr>
        <sz val="9"/>
        <color rgb="FF7F7F7F"/>
        <rFont val="맑은 고딕"/>
        <family val="0"/>
        <charset val="1"/>
      </rPr>
      <t xml:space="preserve">302</t>
    </r>
    <r>
      <rPr>
        <sz val="9"/>
        <color rgb="FF7F7F7F"/>
        <rFont val="Noto Sans CJK SC"/>
        <family val="2"/>
      </rPr>
      <t xml:space="preserve">호</t>
    </r>
  </si>
  <si>
    <t xml:space="preserve">찾아오는 길</t>
  </si>
  <si>
    <r>
      <rPr>
        <sz val="9"/>
        <color rgb="FF7F7F7F"/>
        <rFont val="Noto Sans CJK SC"/>
        <family val="2"/>
      </rPr>
      <t xml:space="preserve">간판이 작거나 없으면 꼭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1</t>
    </r>
    <r>
      <rPr>
        <sz val="9"/>
        <color rgb="FF7F7F7F"/>
        <rFont val="Noto Sans CJK SC"/>
        <family val="2"/>
      </rPr>
      <t xml:space="preserve">층 카페 옆 계단으로 </t>
    </r>
    <r>
      <rPr>
        <sz val="9"/>
        <color rgb="FF7F7F7F"/>
        <rFont val="맑은 고딕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층</t>
    </r>
  </si>
  <si>
    <t xml:space="preserve">연락처</t>
  </si>
  <si>
    <t xml:space="preserve">대표 전화</t>
  </si>
  <si>
    <r>
      <rPr>
        <sz val="9"/>
        <color rgb="FF7F7F7F"/>
        <rFont val="Noto Sans CJK SC"/>
        <family val="2"/>
      </rPr>
      <t xml:space="preserve">★ 스마트콜 </t>
    </r>
    <r>
      <rPr>
        <sz val="9"/>
        <color rgb="FF7F7F7F"/>
        <rFont val="맑은 고딕"/>
        <family val="0"/>
        <charset val="1"/>
      </rPr>
      <t xml:space="preserve">0507 </t>
    </r>
    <r>
      <rPr>
        <sz val="9"/>
        <color rgb="FF7F7F7F"/>
        <rFont val="Noto Sans CJK SC"/>
        <family val="2"/>
      </rPr>
      <t xml:space="preserve">번호로 걸려온 전화가 이 번호로 연결됩니다 </t>
    </r>
    <r>
      <rPr>
        <sz val="9"/>
        <color rgb="FF7F7F7F"/>
        <rFont val="맑은 고딕"/>
        <family val="0"/>
        <charset val="1"/>
      </rPr>
      <t xml:space="preserve">(1</t>
    </r>
    <r>
      <rPr>
        <sz val="9"/>
        <color rgb="FF7F7F7F"/>
        <rFont val="Noto Sans CJK SC"/>
        <family val="2"/>
      </rPr>
      <t xml:space="preserve">차 착신</t>
    </r>
    <r>
      <rPr>
        <sz val="9"/>
        <color rgb="FF7F7F7F"/>
        <rFont val="맑은 고딕"/>
        <family val="0"/>
        <charset val="1"/>
      </rPr>
      <t xml:space="preserve">). 08_</t>
    </r>
    <r>
      <rPr>
        <sz val="9"/>
        <color rgb="FF7F7F7F"/>
        <rFont val="Noto Sans CJK SC"/>
        <family val="2"/>
      </rPr>
      <t xml:space="preserve">스마트콜 탭 참고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02-1234-5678</t>
    </r>
  </si>
  <si>
    <t xml:space="preserve">휴대폰</t>
  </si>
  <si>
    <r>
      <rPr>
        <sz val="9"/>
        <color rgb="FF7F7F7F"/>
        <rFont val="Noto Sans CJK SC"/>
        <family val="2"/>
      </rPr>
      <t xml:space="preserve">★ 뒷 </t>
    </r>
    <r>
      <rPr>
        <sz val="9"/>
        <color rgb="FF7F7F7F"/>
        <rFont val="맑은 고딕"/>
        <family val="0"/>
        <charset val="1"/>
      </rPr>
      <t xml:space="preserve">4</t>
    </r>
    <r>
      <rPr>
        <sz val="9"/>
        <color rgb="FF7F7F7F"/>
        <rFont val="Noto Sans CJK SC"/>
        <family val="2"/>
      </rPr>
      <t xml:space="preserve">자리가 재진입 시 본인 확인에 사용됩니다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고객에게는 공개되지 않습니다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010-1234-5678</t>
    </r>
  </si>
  <si>
    <t xml:space="preserve">카카오톡 채널</t>
  </si>
  <si>
    <r>
      <rPr>
        <sz val="9"/>
        <color rgb="FF7F7F7F"/>
        <rFont val="Noto Sans CJK SC"/>
        <family val="2"/>
      </rPr>
      <t xml:space="preserve">채널 </t>
    </r>
    <r>
      <rPr>
        <sz val="9"/>
        <color rgb="FF7F7F7F"/>
        <rFont val="맑은 고딕"/>
        <family val="0"/>
        <charset val="1"/>
      </rPr>
      <t xml:space="preserve">URL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http://pf.kakao.com/_abcd</t>
    </r>
  </si>
  <si>
    <t xml:space="preserve">홍보</t>
  </si>
  <si>
    <t xml:space="preserve">홈페이지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</si>
  <si>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https://raon.co.kr</t>
    </r>
  </si>
  <si>
    <t xml:space="preserve">네이버 블로그</t>
  </si>
  <si>
    <r>
      <rPr>
        <sz val="9"/>
        <color rgb="FF7F7F7F"/>
        <rFont val="Noto Sans CJK SC"/>
        <family val="2"/>
      </rPr>
      <t xml:space="preserve">블로그 주소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https://blog.naver.com/raon</t>
    </r>
  </si>
  <si>
    <t xml:space="preserve">인스타그램</t>
  </si>
  <si>
    <r>
      <rPr>
        <sz val="9"/>
        <color rgb="FF7F7F7F"/>
        <rFont val="맑은 고딕"/>
        <family val="0"/>
        <charset val="1"/>
      </rPr>
      <t xml:space="preserve">@</t>
    </r>
    <r>
      <rPr>
        <sz val="9"/>
        <color rgb="FF7F7F7F"/>
        <rFont val="Noto Sans CJK SC"/>
        <family val="2"/>
      </rPr>
      <t xml:space="preserve">핸들 또는 </t>
    </r>
    <r>
      <rPr>
        <sz val="9"/>
        <color rgb="FF7F7F7F"/>
        <rFont val="맑은 고딕"/>
        <family val="0"/>
        <charset val="1"/>
      </rPr>
      <t xml:space="preserve">URL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@raon_esthetic</t>
    </r>
  </si>
  <si>
    <t xml:space="preserve">유튜브</t>
  </si>
  <si>
    <r>
      <rPr>
        <sz val="9"/>
        <color rgb="FF7F7F7F"/>
        <rFont val="Noto Sans CJK SC"/>
        <family val="2"/>
      </rPr>
      <t xml:space="preserve">채널 주소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https://youtube.com/@raon</t>
    </r>
  </si>
  <si>
    <r>
      <rPr>
        <b val="true"/>
        <sz val="10"/>
        <color rgb="FF1F3864"/>
        <rFont val="Noto Sans CJK SC"/>
        <family val="2"/>
      </rPr>
      <t xml:space="preserve">소개 </t>
    </r>
    <r>
      <rPr>
        <b val="true"/>
        <sz val="10"/>
        <color rgb="FF1F3864"/>
        <rFont val="맑은 고딕"/>
        <family val="0"/>
        <charset val="1"/>
      </rPr>
      <t xml:space="preserve">· </t>
    </r>
    <r>
      <rPr>
        <b val="true"/>
        <sz val="10"/>
        <color rgb="FF1F3864"/>
        <rFont val="Noto Sans CJK SC"/>
        <family val="2"/>
      </rPr>
      <t xml:space="preserve">키워드</t>
    </r>
  </si>
  <si>
    <r>
      <rPr>
        <sz val="10"/>
        <rFont val="Noto Sans CJK SC"/>
        <family val="2"/>
      </rPr>
      <t xml:space="preserve">소개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키워드</t>
    </r>
  </si>
  <si>
    <t xml:space="preserve">업체 상세설명</t>
  </si>
  <si>
    <r>
      <rPr>
        <sz val="10"/>
        <rFont val="Noto Sans CJK SC"/>
        <family val="2"/>
      </rPr>
      <t xml:space="preserve">대표 키워드 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</si>
  <si>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대표 키워드 </t>
    </r>
    <r>
      <rPr>
        <sz val="10"/>
        <rFont val="맑은 고딕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</si>
  <si>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대표 키워드 </t>
    </r>
    <r>
      <rPr>
        <sz val="10"/>
        <rFont val="맑은 고딕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</si>
  <si>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대표 키워드 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</si>
  <si>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대표 키워드 </t>
    </r>
    <r>
      <rPr>
        <sz val="10"/>
        <rFont val="맑은 고딕"/>
        <family val="0"/>
        <charset val="1"/>
      </rPr>
      <t xml:space="preserve">5</t>
    </r>
  </si>
  <si>
    <t xml:space="preserve">사업자 정보</t>
  </si>
  <si>
    <r>
      <rPr>
        <sz val="9"/>
        <color rgb="FF7F7F7F"/>
        <rFont val="Noto Sans CJK SC"/>
        <family val="2"/>
      </rPr>
      <t xml:space="preserve">★ 업체 식별 키로 사용됩니다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반드시 입력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홍길동</t>
    </r>
  </si>
  <si>
    <t xml:space="preserve">사업자등록번호</t>
  </si>
  <si>
    <r>
      <rPr>
        <sz val="9"/>
        <color rgb="FF7F7F7F"/>
        <rFont val="맑은 고딕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자리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123-45-67890</t>
    </r>
  </si>
  <si>
    <r>
      <rPr>
        <b val="true"/>
        <sz val="14"/>
        <color rgb="FF1F3864"/>
        <rFont val="맑은 고딕"/>
        <family val="0"/>
        <charset val="1"/>
      </rPr>
      <t xml:space="preserve">02. </t>
    </r>
    <r>
      <rPr>
        <b val="true"/>
        <sz val="14"/>
        <color rgb="FF1F3864"/>
        <rFont val="Noto Sans CJK SC"/>
        <family val="2"/>
      </rPr>
      <t xml:space="preserve">부가정보</t>
    </r>
  </si>
  <si>
    <r>
      <rPr>
        <sz val="9"/>
        <color rgb="FF7F7F7F"/>
        <rFont val="Noto Sans CJK SC"/>
        <family val="2"/>
      </rPr>
      <t xml:space="preserve">편의시설은 </t>
    </r>
    <r>
      <rPr>
        <sz val="9"/>
        <color rgb="FF7F7F7F"/>
        <rFont val="맑은 고딕"/>
        <family val="0"/>
        <charset val="1"/>
      </rPr>
      <t xml:space="preserve">Y / N </t>
    </r>
    <r>
      <rPr>
        <sz val="9"/>
        <color rgb="FF7F7F7F"/>
        <rFont val="Noto Sans CJK SC"/>
        <family val="2"/>
      </rPr>
      <t xml:space="preserve">으로 선택해 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해당 없으면 </t>
    </r>
    <r>
      <rPr>
        <sz val="9"/>
        <color rgb="FF7F7F7F"/>
        <rFont val="맑은 고딕"/>
        <family val="0"/>
        <charset val="1"/>
      </rPr>
      <t xml:space="preserve">N </t>
    </r>
    <r>
      <rPr>
        <sz val="9"/>
        <color rgb="FF7F7F7F"/>
        <rFont val="Noto Sans CJK SC"/>
        <family val="2"/>
      </rPr>
      <t xml:space="preserve">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업체 상세설명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대표 키워드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홍보 채널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홈페이지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블로그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인스타그램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유튜브</t>
    </r>
    <r>
      <rPr>
        <sz val="9"/>
        <color rgb="FF7F7F7F"/>
        <rFont val="맑은 고딕"/>
        <family val="0"/>
        <charset val="1"/>
      </rPr>
      <t xml:space="preserve">)</t>
    </r>
    <r>
      <rPr>
        <sz val="9"/>
        <color rgb="FF7F7F7F"/>
        <rFont val="Noto Sans CJK SC"/>
        <family val="2"/>
      </rPr>
      <t xml:space="preserve">은 </t>
    </r>
    <r>
      <rPr>
        <sz val="9"/>
        <color rgb="FF7F7F7F"/>
        <rFont val="맑은 고딕"/>
        <family val="0"/>
        <charset val="1"/>
      </rPr>
      <t xml:space="preserve">'01_</t>
    </r>
    <r>
      <rPr>
        <sz val="9"/>
        <color rgb="FF7F7F7F"/>
        <rFont val="Noto Sans CJK SC"/>
        <family val="2"/>
      </rPr>
      <t xml:space="preserve">기본정보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Noto Sans CJK SC"/>
        <family val="2"/>
      </rPr>
      <t xml:space="preserve">탭에 있습니다</t>
    </r>
    <r>
      <rPr>
        <sz val="9"/>
        <color rgb="FF7F7F7F"/>
        <rFont val="맑은 고딕"/>
        <family val="0"/>
        <charset val="1"/>
      </rPr>
      <t xml:space="preserve">.</t>
    </r>
  </si>
  <si>
    <t xml:space="preserve">시설 규모</t>
  </si>
  <si>
    <r>
      <rPr>
        <sz val="10"/>
        <rFont val="Noto Sans CJK SC"/>
        <family val="2"/>
      </rPr>
      <t xml:space="preserve">관리실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개수</t>
    </r>
  </si>
  <si>
    <r>
      <rPr>
        <sz val="9"/>
        <color rgb="FF7F7F7F"/>
        <rFont val="Noto Sans CJK SC"/>
        <family val="2"/>
      </rPr>
      <t xml:space="preserve">숫자만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4</t>
    </r>
  </si>
  <si>
    <t xml:space="preserve">관리사 인원</t>
  </si>
  <si>
    <r>
      <rPr>
        <sz val="9"/>
        <color rgb="FF7F7F7F"/>
        <rFont val="Noto Sans CJK SC"/>
        <family val="2"/>
      </rPr>
      <t xml:space="preserve">동시 접수 가능 인원 산정에 사용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3</t>
    </r>
  </si>
  <si>
    <t xml:space="preserve">매장 평수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</si>
  <si>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40</t>
    </r>
  </si>
  <si>
    <t xml:space="preserve">주차</t>
  </si>
  <si>
    <t xml:space="preserve">자체 주차 가능</t>
  </si>
  <si>
    <r>
      <rPr>
        <sz val="9"/>
        <color rgb="FF7F7F7F"/>
        <rFont val="Noto Sans CJK SC"/>
        <family val="2"/>
      </rPr>
      <t xml:space="preserve">건물 자체 주차장 이용 가능 여부</t>
    </r>
    <r>
      <rPr>
        <sz val="9"/>
        <color rgb="FF7F7F7F"/>
        <rFont val="맑은 고딕"/>
        <family val="0"/>
        <charset val="1"/>
      </rPr>
      <t xml:space="preserve">. Y / N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</si>
  <si>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주차 안내</t>
  </si>
  <si>
    <t xml:space="preserve">인근 대체 주차장 이용</t>
  </si>
  <si>
    <r>
      <rPr>
        <sz val="9"/>
        <color rgb="FF7F7F7F"/>
        <rFont val="Noto Sans CJK SC"/>
        <family val="2"/>
      </rPr>
      <t xml:space="preserve">자체 주차가 어려울 때 안내할 곳이 있으면 </t>
    </r>
    <r>
      <rPr>
        <sz val="9"/>
        <color rgb="FF7F7F7F"/>
        <rFont val="맑은 고딕"/>
        <family val="0"/>
        <charset val="1"/>
      </rPr>
      <t xml:space="preserve">Y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</si>
  <si>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대체 주차장 주소</t>
  </si>
  <si>
    <r>
      <rPr>
        <sz val="9"/>
        <color rgb="FF7F7F7F"/>
        <rFont val="Noto Sans CJK SC"/>
        <family val="2"/>
      </rPr>
      <t xml:space="preserve">도로명 주소로 적어주세요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여러 곳이면 줄바꿈으로 구분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서울 강남구 테헤란로 </t>
    </r>
    <r>
      <rPr>
        <sz val="9"/>
        <color rgb="FF7F7F7F"/>
        <rFont val="맑은 고딕"/>
        <family val="0"/>
        <charset val="1"/>
      </rPr>
      <t xml:space="preserve">130 </t>
    </r>
    <r>
      <rPr>
        <sz val="9"/>
        <color rgb="FF7F7F7F"/>
        <rFont val="Noto Sans CJK SC"/>
        <family val="2"/>
      </rPr>
      <t xml:space="preserve">대한공영주차장</t>
    </r>
  </si>
  <si>
    <t xml:space="preserve">주차비 지원 가능</t>
  </si>
  <si>
    <r>
      <rPr>
        <sz val="9"/>
        <color rgb="FF7F7F7F"/>
        <rFont val="Noto Sans CJK SC"/>
        <family val="2"/>
      </rPr>
      <t xml:space="preserve">주차비를 대신 내주거나 할인해 주는 경우 </t>
    </r>
    <r>
      <rPr>
        <sz val="9"/>
        <color rgb="FF7F7F7F"/>
        <rFont val="맑은 고딕"/>
        <family val="0"/>
        <charset val="1"/>
      </rPr>
      <t xml:space="preserve">Y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</si>
  <si>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주차비 지원 조건</t>
  </si>
  <si>
    <r>
      <rPr>
        <sz val="9"/>
        <color rgb="FF7F7F7F"/>
        <rFont val="Noto Sans CJK SC"/>
        <family val="2"/>
      </rPr>
      <t xml:space="preserve">금액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시간 조건을 함께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5</t>
    </r>
    <r>
      <rPr>
        <sz val="9"/>
        <color rgb="FF7F7F7F"/>
        <rFont val="Noto Sans CJK SC"/>
        <family val="2"/>
      </rPr>
      <t xml:space="preserve">만원 이상 시술 시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시간 지원</t>
    </r>
  </si>
  <si>
    <t xml:space="preserve">편의시설</t>
  </si>
  <si>
    <t xml:space="preserve">개인룸</t>
  </si>
  <si>
    <r>
      <rPr>
        <sz val="9"/>
        <color rgb="FF7F7F7F"/>
        <rFont val="맑은 고딕"/>
        <family val="0"/>
        <charset val="1"/>
      </rPr>
      <t xml:space="preserve">Y / N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</si>
  <si>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샤워 시설</t>
  </si>
  <si>
    <t xml:space="preserve">와이파이</t>
  </si>
  <si>
    <t xml:space="preserve">여성 전용</t>
  </si>
  <si>
    <r>
      <rPr>
        <sz val="9"/>
        <color rgb="FF7F7F7F"/>
        <rFont val="맑은 고딕"/>
        <family val="0"/>
        <charset val="1"/>
      </rPr>
      <t xml:space="preserve">Y / N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N</t>
    </r>
  </si>
  <si>
    <t xml:space="preserve">남성 이용 가능</t>
  </si>
  <si>
    <t xml:space="preserve">예약제 운영</t>
  </si>
  <si>
    <t xml:space="preserve">장애인 편의시설</t>
  </si>
  <si>
    <t xml:space="preserve">휠체어 이용 가능 출입구</t>
  </si>
  <si>
    <r>
      <rPr>
        <sz val="9"/>
        <color rgb="FF7F7F7F"/>
        <rFont val="Noto Sans CJK SC"/>
        <family val="2"/>
      </rPr>
      <t xml:space="preserve">턱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계단 없이 진입 가능하면 </t>
    </r>
    <r>
      <rPr>
        <sz val="9"/>
        <color rgb="FF7F7F7F"/>
        <rFont val="맑은 고딕"/>
        <family val="0"/>
        <charset val="1"/>
      </rPr>
      <t xml:space="preserve">Y. </t>
    </r>
    <r>
      <rPr>
        <sz val="9"/>
        <color rgb="FF7F7F7F"/>
        <rFont val="Noto Sans CJK SC"/>
        <family val="2"/>
      </rPr>
      <t xml:space="preserve">경사로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엘리베이터 포함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</si>
  <si>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휠체어 이용 가능 화장실</t>
  </si>
  <si>
    <r>
      <rPr>
        <sz val="9"/>
        <color rgb="FF7F7F7F"/>
        <rFont val="Noto Sans CJK SC"/>
        <family val="2"/>
      </rPr>
      <t xml:space="preserve">휠체어가 들어가고 회전할 수 있는 화장실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N</t>
    </r>
  </si>
  <si>
    <t xml:space="preserve">휠체어 이용 가능 좌석</t>
  </si>
  <si>
    <r>
      <rPr>
        <sz val="9"/>
        <color rgb="FF7F7F7F"/>
        <rFont val="Noto Sans CJK SC"/>
        <family val="2"/>
      </rPr>
      <t xml:space="preserve">휠체어에서 이동하지 않고 이용 가능한 관리 베드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좌석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</si>
  <si>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장애인 전용 주차구역</t>
  </si>
  <si>
    <r>
      <rPr>
        <sz val="9"/>
        <color rgb="FF7F7F7F"/>
        <rFont val="Noto Sans CJK SC"/>
        <family val="2"/>
      </rPr>
      <t xml:space="preserve">건물 또는 인근에 전용 구역이 있으면 </t>
    </r>
    <r>
      <rPr>
        <sz val="9"/>
        <color rgb="FF7F7F7F"/>
        <rFont val="맑은 고딕"/>
        <family val="0"/>
        <charset val="1"/>
      </rPr>
      <t xml:space="preserve">Y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</si>
  <si>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장애인 편의 안내</t>
  </si>
  <si>
    <r>
      <rPr>
        <sz val="9"/>
        <color rgb="FF7F7F7F"/>
        <rFont val="Noto Sans CJK SC"/>
        <family val="2"/>
      </rPr>
      <t xml:space="preserve">위 항목으로 설명이 부족한 부분을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엘리베이터로 </t>
    </r>
    <r>
      <rPr>
        <sz val="9"/>
        <color rgb="FF7F7F7F"/>
        <rFont val="맑은 고딕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층 진입 가능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화장실은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층 공용 이용</t>
    </r>
  </si>
  <si>
    <t xml:space="preserve">결제수단</t>
  </si>
  <si>
    <r>
      <rPr>
        <sz val="10"/>
        <rFont val="Noto Sans CJK SC"/>
        <family val="2"/>
      </rPr>
      <t xml:space="preserve">신용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체크카드</t>
    </r>
  </si>
  <si>
    <t xml:space="preserve">현금영수증</t>
  </si>
  <si>
    <r>
      <rPr>
        <sz val="10"/>
        <rFont val="Noto Sans CJK SC"/>
        <family val="2"/>
      </rPr>
      <t xml:space="preserve">지역화폐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지류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</si>
  <si>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종이 상품권 형태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</si>
  <si>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r>
      <rPr>
        <sz val="10"/>
        <rFont val="Noto Sans CJK SC"/>
        <family val="2"/>
      </rPr>
      <t xml:space="preserve">지역화폐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</si>
  <si>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충전식 카드 형태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</si>
  <si>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r>
      <rPr>
        <sz val="10"/>
        <rFont val="Noto Sans CJK SC"/>
        <family val="2"/>
      </rPr>
      <t xml:space="preserve">지역화폐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</si>
  <si>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앱 </t>
    </r>
    <r>
      <rPr>
        <sz val="9"/>
        <color rgb="FF7F7F7F"/>
        <rFont val="맑은 고딕"/>
        <family val="0"/>
        <charset val="1"/>
      </rPr>
      <t xml:space="preserve">QR·</t>
    </r>
    <r>
      <rPr>
        <sz val="9"/>
        <color rgb="FF7F7F7F"/>
        <rFont val="Noto Sans CJK SC"/>
        <family val="2"/>
      </rPr>
      <t xml:space="preserve">바코드 결제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N</t>
    </r>
  </si>
  <si>
    <t xml:space="preserve">지역화폐 종류</t>
  </si>
  <si>
    <r>
      <rPr>
        <sz val="9"/>
        <color rgb="FF7F7F7F"/>
        <rFont val="Noto Sans CJK SC"/>
        <family val="2"/>
      </rPr>
      <t xml:space="preserve">취급하는 지역화폐 이름을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서울사랑상품권</t>
    </r>
  </si>
  <si>
    <t xml:space="preserve">제로페이</t>
  </si>
  <si>
    <t xml:space="preserve">간편결제</t>
  </si>
  <si>
    <t xml:space="preserve">간편결제 종류</t>
  </si>
  <si>
    <r>
      <rPr>
        <sz val="9"/>
        <color rgb="FF7F7F7F"/>
        <rFont val="Noto Sans CJK SC"/>
        <family val="2"/>
      </rPr>
      <t xml:space="preserve">받으시는 간편결제를 모두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네이버페이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카카오페이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토스</t>
    </r>
  </si>
  <si>
    <t xml:space="preserve">고유가 지원금</t>
  </si>
  <si>
    <r>
      <rPr>
        <b val="true"/>
        <sz val="14"/>
        <color rgb="FF1F3864"/>
        <rFont val="맑은 고딕"/>
        <family val="0"/>
        <charset val="1"/>
      </rPr>
      <t xml:space="preserve">03. </t>
    </r>
    <r>
      <rPr>
        <b val="true"/>
        <sz val="14"/>
        <color rgb="FF1F3864"/>
        <rFont val="Noto Sans CJK SC"/>
        <family val="2"/>
      </rPr>
      <t xml:space="preserve">휴무일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Noto Sans CJK SC"/>
        <family val="2"/>
      </rPr>
      <t xml:space="preserve">영업시간</t>
    </r>
  </si>
  <si>
    <r>
      <rPr>
        <sz val="9"/>
        <color rgb="FF7F7F7F"/>
        <rFont val="Noto Sans CJK SC"/>
        <family val="2"/>
      </rPr>
      <t xml:space="preserve">요일마다 다르지 않으면 첫 행만 채우고 나머지는 같은 값을 복사해 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시간은 </t>
    </r>
    <r>
      <rPr>
        <sz val="9"/>
        <color rgb="FF7F7F7F"/>
        <rFont val="맑은 고딕"/>
        <family val="0"/>
        <charset val="1"/>
      </rPr>
      <t xml:space="preserve">24</t>
    </r>
    <r>
      <rPr>
        <sz val="9"/>
        <color rgb="FF7F7F7F"/>
        <rFont val="Noto Sans CJK SC"/>
        <family val="2"/>
      </rPr>
      <t xml:space="preserve">시 형식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: 19:30)</t>
    </r>
    <r>
      <rPr>
        <sz val="9"/>
        <color rgb="FF7F7F7F"/>
        <rFont val="Noto Sans CJK SC"/>
        <family val="2"/>
      </rPr>
      <t xml:space="preserve">으로 적어주세요</t>
    </r>
    <r>
      <rPr>
        <sz val="9"/>
        <color rgb="FF7F7F7F"/>
        <rFont val="맑은 고딕"/>
        <family val="0"/>
        <charset val="1"/>
      </rPr>
      <t xml:space="preserve">.</t>
    </r>
  </si>
  <si>
    <t xml:space="preserve">요일</t>
  </si>
  <si>
    <t xml:space="preserve">영업 여부</t>
  </si>
  <si>
    <t xml:space="preserve">오픈</t>
  </si>
  <si>
    <t xml:space="preserve">마감</t>
  </si>
  <si>
    <t xml:space="preserve">브레이크 시작</t>
  </si>
  <si>
    <t xml:space="preserve">브레이크 종료</t>
  </si>
  <si>
    <t xml:space="preserve">라스트오더</t>
  </si>
  <si>
    <r>
      <rPr>
        <i val="true"/>
        <sz val="10"/>
        <color rgb="FF808080"/>
        <rFont val="Noto Sans CJK SC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</si>
  <si>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Y</t>
  </si>
  <si>
    <t xml:space="preserve">10:00</t>
  </si>
  <si>
    <t xml:space="preserve">21:00</t>
  </si>
  <si>
    <t xml:space="preserve">13:00</t>
  </si>
  <si>
    <t xml:space="preserve">14:00</t>
  </si>
  <si>
    <t xml:space="preserve">19:30</t>
  </si>
  <si>
    <t xml:space="preserve">브레이크타임 없으면 비워두세요</t>
  </si>
  <si>
    <t xml:space="preserve">월요일</t>
  </si>
  <si>
    <t xml:space="preserve">화요일</t>
  </si>
  <si>
    <t xml:space="preserve">수요일</t>
  </si>
  <si>
    <t xml:space="preserve">목요일</t>
  </si>
  <si>
    <t xml:space="preserve">금요일</t>
  </si>
  <si>
    <t xml:space="preserve">토요일</t>
  </si>
  <si>
    <t xml:space="preserve">일요일</t>
  </si>
  <si>
    <t xml:space="preserve">공휴일</t>
  </si>
  <si>
    <t xml:space="preserve">추가 휴무 정보</t>
  </si>
  <si>
    <t xml:space="preserve">정기 휴무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</si>
  <si>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매주 월요일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매월 둘째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넷째 일요일</t>
    </r>
  </si>
  <si>
    <t xml:space="preserve">명절 휴무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</si>
  <si>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설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추석 당일 휴무</t>
    </r>
  </si>
  <si>
    <r>
      <rPr>
        <sz val="10"/>
        <rFont val="Noto Sans CJK SC"/>
        <family val="2"/>
      </rPr>
      <t xml:space="preserve">연차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임시휴무 안내 방법</t>
    </r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</si>
  <si>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인스타그램 공지</t>
    </r>
  </si>
  <si>
    <r>
      <rPr>
        <b val="true"/>
        <sz val="14"/>
        <color rgb="FF1F3864"/>
        <rFont val="맑은 고딕"/>
        <family val="0"/>
        <charset val="1"/>
      </rPr>
      <t xml:space="preserve">04. </t>
    </r>
    <r>
      <rPr>
        <b val="true"/>
        <sz val="14"/>
        <color rgb="FF1F3864"/>
        <rFont val="Noto Sans CJK SC"/>
        <family val="2"/>
      </rPr>
      <t xml:space="preserve">시술 메뉴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원본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</si>
  <si>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★ 모든 시술은 여기에 딱 한 번만 적습니다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가격표</t>
    </r>
    <r>
      <rPr>
        <sz val="9"/>
        <color rgb="FF7F7F7F"/>
        <rFont val="맑은 고딕"/>
        <family val="0"/>
        <charset val="1"/>
      </rPr>
      <t xml:space="preserve">·</t>
    </r>
    <r>
      <rPr>
        <sz val="9"/>
        <color rgb="FF7F7F7F"/>
        <rFont val="Noto Sans CJK SC"/>
        <family val="2"/>
      </rPr>
      <t xml:space="preserve">예약상품은 이 목록을 가져다 씁니다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할인가는 여기 적지 마시고 </t>
    </r>
    <r>
      <rPr>
        <sz val="9"/>
        <color rgb="FF7F7F7F"/>
        <rFont val="맑은 고딕"/>
        <family val="0"/>
        <charset val="1"/>
      </rPr>
      <t xml:space="preserve">'06_</t>
    </r>
    <r>
      <rPr>
        <sz val="9"/>
        <color rgb="FF7F7F7F"/>
        <rFont val="Noto Sans CJK SC"/>
        <family val="2"/>
      </rPr>
      <t xml:space="preserve">예약상품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에 적어주세요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여기엔 정가만 넣습니다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같은 시술의 시간 변형</t>
    </r>
    <r>
      <rPr>
        <sz val="9"/>
        <color rgb="FF7F7F7F"/>
        <rFont val="맑은 고딕"/>
        <family val="0"/>
        <charset val="1"/>
      </rPr>
      <t xml:space="preserve">(60</t>
    </r>
    <r>
      <rPr>
        <sz val="9"/>
        <color rgb="FF7F7F7F"/>
        <rFont val="Noto Sans CJK SC"/>
        <family val="2"/>
      </rPr>
      <t xml:space="preserve">분</t>
    </r>
    <r>
      <rPr>
        <sz val="9"/>
        <color rgb="FF7F7F7F"/>
        <rFont val="맑은 고딕"/>
        <family val="0"/>
        <charset val="1"/>
      </rPr>
      <t xml:space="preserve">·90</t>
    </r>
    <r>
      <rPr>
        <sz val="9"/>
        <color rgb="FF7F7F7F"/>
        <rFont val="Noto Sans CJK SC"/>
        <family val="2"/>
      </rPr>
      <t xml:space="preserve">분</t>
    </r>
    <r>
      <rPr>
        <sz val="9"/>
        <color rgb="FF7F7F7F"/>
        <rFont val="맑은 고딕"/>
        <family val="0"/>
        <charset val="1"/>
      </rPr>
      <t xml:space="preserve">)</t>
    </r>
    <r>
      <rPr>
        <sz val="9"/>
        <color rgb="FF7F7F7F"/>
        <rFont val="Noto Sans CJK SC"/>
        <family val="2"/>
      </rPr>
      <t xml:space="preserve">은 각각 한 줄씩 적어주세요</t>
    </r>
    <r>
      <rPr>
        <sz val="9"/>
        <color rgb="FF7F7F7F"/>
        <rFont val="맑은 고딕"/>
        <family val="0"/>
        <charset val="1"/>
      </rPr>
      <t xml:space="preserve">.</t>
    </r>
  </si>
  <si>
    <t xml:space="preserve">No</t>
  </si>
  <si>
    <t xml:space="preserve">카테고리</t>
  </si>
  <si>
    <r>
      <rPr>
        <b val="true"/>
        <sz val="10"/>
        <color rgb="FFFFFFFF"/>
        <rFont val="Noto Sans CJK SC"/>
        <family val="2"/>
      </rPr>
      <t xml:space="preserve">시술명 </t>
    </r>
    <r>
      <rPr>
        <b val="true"/>
        <sz val="10"/>
        <color rgb="FFFFFFFF"/>
        <rFont val="맑은 고딕"/>
        <family val="0"/>
        <charset val="1"/>
      </rPr>
      <t xml:space="preserve">(30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</si>
  <si>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소요시간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</si>
  <si>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정가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</si>
  <si>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가격 부가설명 </t>
    </r>
    <r>
      <rPr>
        <b val="true"/>
        <sz val="10"/>
        <color rgb="FFFFFFFF"/>
        <rFont val="맑은 고딕"/>
        <family val="0"/>
        <charset val="1"/>
      </rPr>
      <t xml:space="preserve">(96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</si>
  <si>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시술 설명 </t>
    </r>
    <r>
      <rPr>
        <b val="true"/>
        <sz val="10"/>
        <color rgb="FFFFFFFF"/>
        <rFont val="맑은 고딕"/>
        <family val="0"/>
        <charset val="1"/>
      </rPr>
      <t xml:space="preserve">(300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</si>
  <si>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가격표 노출</t>
  </si>
  <si>
    <t xml:space="preserve">노출 순서</t>
  </si>
  <si>
    <r>
      <rPr>
        <b val="true"/>
        <sz val="10"/>
        <color rgb="FFFFFFFF"/>
        <rFont val="Noto Sans CJK SC"/>
        <family val="2"/>
      </rPr>
      <t xml:space="preserve">사용 현황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</si>
  <si>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바디</t>
  </si>
  <si>
    <t xml:space="preserve">등 관리</t>
  </si>
  <si>
    <r>
      <rPr>
        <i val="true"/>
        <sz val="10"/>
        <color rgb="FF808080"/>
        <rFont val="맑은 고딕"/>
        <family val="0"/>
        <charset val="1"/>
      </rPr>
      <t xml:space="preserve">VAT </t>
    </r>
    <r>
      <rPr>
        <i val="true"/>
        <sz val="10"/>
        <color rgb="FF808080"/>
        <rFont val="Noto Sans CJK SC"/>
        <family val="2"/>
      </rPr>
      <t xml:space="preserve">포함 </t>
    </r>
    <r>
      <rPr>
        <i val="true"/>
        <sz val="10"/>
        <color rgb="FF808080"/>
        <rFont val="맑은 고딕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회원가 기준</t>
    </r>
  </si>
  <si>
    <r>
      <rPr>
        <i val="true"/>
        <sz val="10"/>
        <color rgb="FF808080"/>
        <rFont val="Noto Sans CJK SC"/>
        <family val="2"/>
      </rPr>
      <t xml:space="preserve">노폐물 제거와 딥클렌징으로 등 트러블을 완화합니다</t>
    </r>
    <r>
      <rPr>
        <i val="true"/>
        <sz val="10"/>
        <color rgb="FF808080"/>
        <rFont val="맑은 고딕"/>
        <family val="0"/>
        <charset val="1"/>
      </rPr>
      <t xml:space="preserve">.</t>
    </r>
  </si>
  <si>
    <r>
      <rPr>
        <i val="true"/>
        <sz val="10"/>
        <color rgb="FF808080"/>
        <rFont val="Noto Sans CJK SC"/>
        <family val="2"/>
      </rPr>
      <t xml:space="preserve">예약상품 </t>
    </r>
    <r>
      <rPr>
        <i val="true"/>
        <sz val="10"/>
        <color rgb="FF808080"/>
        <rFont val="맑은 고딕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건 </t>
    </r>
    <r>
      <rPr>
        <i val="true"/>
        <sz val="10"/>
        <color rgb="FF808080"/>
        <rFont val="맑은 고딕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패키지 </t>
    </r>
    <r>
      <rPr>
        <i val="true"/>
        <sz val="10"/>
        <color rgb="FF808080"/>
        <rFont val="맑은 고딕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건</t>
    </r>
  </si>
  <si>
    <r>
      <rPr>
        <b val="true"/>
        <sz val="14"/>
        <color rgb="FF1F3864"/>
        <rFont val="맑은 고딕"/>
        <family val="0"/>
        <charset val="1"/>
      </rPr>
      <t xml:space="preserve">05. </t>
    </r>
    <r>
      <rPr>
        <b val="true"/>
        <sz val="14"/>
        <color rgb="FF1F3864"/>
        <rFont val="Noto Sans CJK SC"/>
        <family val="2"/>
      </rPr>
      <t xml:space="preserve">패키지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시술 묶음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</si>
  <si>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9"/>
        <color rgb="FF7F7F7F"/>
        <rFont val="맑은 고딕"/>
        <family val="0"/>
        <charset val="1"/>
      </rPr>
      <t xml:space="preserve">'04_</t>
    </r>
    <r>
      <rPr>
        <sz val="9"/>
        <color rgb="FF7F7F7F"/>
        <rFont val="Noto Sans CJK SC"/>
        <family val="2"/>
      </rPr>
      <t xml:space="preserve">시술마스터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의 시술을 묶어 파는 상품입니다</t>
    </r>
    <r>
      <rPr>
        <sz val="9"/>
        <color rgb="FF7F7F7F"/>
        <rFont val="맑은 고딕"/>
        <family val="0"/>
        <charset val="1"/>
      </rPr>
      <t xml:space="preserve">.  ▸ </t>
    </r>
    <r>
      <rPr>
        <sz val="9"/>
        <color rgb="FF7F7F7F"/>
        <rFont val="Noto Sans CJK SC"/>
        <family val="2"/>
      </rPr>
      <t xml:space="preserve">구성 시술의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회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는 </t>
    </r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세트 안에서 몇 번 받는지</t>
    </r>
    <r>
      <rPr>
        <sz val="9"/>
        <color rgb="FF7F7F7F"/>
        <rFont val="맑은 고딕"/>
        <family val="0"/>
        <charset val="1"/>
      </rPr>
      <t xml:space="preserve">, '</t>
    </r>
    <r>
      <rPr>
        <sz val="9"/>
        <color rgb="FF7F7F7F"/>
        <rFont val="Noto Sans CJK SC"/>
        <family val="2"/>
      </rPr>
      <t xml:space="preserve">반복 횟수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는 그 세트를 몇 번 파는지입니다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등관리 </t>
    </r>
    <r>
      <rPr>
        <sz val="9"/>
        <color rgb="FF7F7F7F"/>
        <rFont val="맑은 고딕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회권처럼 단일 시술 회차권은 구성 시술 </t>
    </r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개 </t>
    </r>
    <r>
      <rPr>
        <sz val="9"/>
        <color rgb="FF7F7F7F"/>
        <rFont val="맑은 고딕"/>
        <family val="0"/>
        <charset val="1"/>
      </rPr>
      <t xml:space="preserve">+ </t>
    </r>
    <r>
      <rPr>
        <sz val="9"/>
        <color rgb="FF7F7F7F"/>
        <rFont val="Noto Sans CJK SC"/>
        <family val="2"/>
      </rPr>
      <t xml:space="preserve">반복 </t>
    </r>
    <r>
      <rPr>
        <sz val="9"/>
        <color rgb="FF7F7F7F"/>
        <rFont val="맑은 고딕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회로 적어주세요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개별 합계는 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시술 정가 </t>
    </r>
    <r>
      <rPr>
        <sz val="9"/>
        <color rgb="FF7F7F7F"/>
        <rFont val="맑은 고딕"/>
        <family val="0"/>
        <charset val="1"/>
      </rPr>
      <t xml:space="preserve">× </t>
    </r>
    <r>
      <rPr>
        <sz val="9"/>
        <color rgb="FF7F7F7F"/>
        <rFont val="Noto Sans CJK SC"/>
        <family val="2"/>
      </rPr>
      <t xml:space="preserve">세트 내 횟수</t>
    </r>
    <r>
      <rPr>
        <sz val="9"/>
        <color rgb="FF7F7F7F"/>
        <rFont val="맑은 고딕"/>
        <family val="0"/>
        <charset val="1"/>
      </rPr>
      <t xml:space="preserve">)</t>
    </r>
    <r>
      <rPr>
        <sz val="9"/>
        <color rgb="FF7F7F7F"/>
        <rFont val="Noto Sans CJK SC"/>
        <family val="2"/>
      </rPr>
      <t xml:space="preserve">를 모두 더한 뒤 반복 횟수를 곱한 금액입니다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할인율은 자동 계산됩니다</t>
    </r>
    <r>
      <rPr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</si>
  <si>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패키지명 </t>
    </r>
    <r>
      <rPr>
        <b val="true"/>
        <sz val="10"/>
        <color rgb="FFFFFFFF"/>
        <rFont val="맑은 고딕"/>
        <family val="0"/>
        <charset val="1"/>
      </rPr>
      <t xml:space="preserve">(30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</si>
  <si>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구성 시술</t>
  </si>
  <si>
    <t xml:space="preserve">반복 횟수</t>
  </si>
  <si>
    <r>
      <rPr>
        <b val="true"/>
        <sz val="10"/>
        <color rgb="FFFFFFFF"/>
        <rFont val="Noto Sans CJK SC"/>
        <family val="2"/>
      </rPr>
      <t xml:space="preserve">개별 합계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</si>
  <si>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판매가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</si>
  <si>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할인율</t>
  </si>
  <si>
    <r>
      <rPr>
        <b val="true"/>
        <sz val="10"/>
        <color rgb="FFFFFFFF"/>
        <rFont val="Noto Sans CJK SC"/>
        <family val="2"/>
      </rPr>
      <t xml:space="preserve">총 소요시간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</si>
  <si>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유효기간</t>
  </si>
  <si>
    <r>
      <rPr>
        <b val="true"/>
        <sz val="10"/>
        <color rgb="FFFFFFFF"/>
        <rFont val="Noto Sans CJK SC"/>
        <family val="2"/>
      </rPr>
      <t xml:space="preserve">설명 </t>
    </r>
    <r>
      <rPr>
        <b val="true"/>
        <sz val="10"/>
        <color rgb="FFFFFFFF"/>
        <rFont val="맑은 고딕"/>
        <family val="0"/>
        <charset val="1"/>
      </rPr>
      <t xml:space="preserve">(300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</si>
  <si>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등</t>
    </r>
    <r>
      <rPr>
        <i val="true"/>
        <sz val="10"/>
        <color rgb="FF808080"/>
        <rFont val="맑은 고딕"/>
        <family val="0"/>
        <charset val="1"/>
      </rPr>
      <t xml:space="preserve">+</t>
    </r>
    <r>
      <rPr>
        <i val="true"/>
        <sz val="10"/>
        <color rgb="FF808080"/>
        <rFont val="Noto Sans CJK SC"/>
        <family val="2"/>
      </rPr>
      <t xml:space="preserve">각질 케어 세트</t>
    </r>
  </si>
  <si>
    <r>
      <rPr>
        <i val="true"/>
        <sz val="10"/>
        <color rgb="FF808080"/>
        <rFont val="Noto Sans CJK SC"/>
        <family val="2"/>
      </rPr>
      <t xml:space="preserve">등 관리 </t>
    </r>
    <r>
      <rPr>
        <i val="true"/>
        <sz val="10"/>
        <color rgb="FF808080"/>
        <rFont val="맑은 고딕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회 </t>
    </r>
    <r>
      <rPr>
        <i val="true"/>
        <sz val="10"/>
        <color rgb="FF808080"/>
        <rFont val="맑은 고딕"/>
        <family val="0"/>
        <charset val="1"/>
      </rPr>
      <t xml:space="preserve">+ </t>
    </r>
    <r>
      <rPr>
        <i val="true"/>
        <sz val="10"/>
        <color rgb="FF808080"/>
        <rFont val="Noto Sans CJK SC"/>
        <family val="2"/>
      </rPr>
      <t xml:space="preserve">바디 각질제거 </t>
    </r>
    <r>
      <rPr>
        <i val="true"/>
        <sz val="10"/>
        <color rgb="FF808080"/>
        <rFont val="맑은 고딕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회</t>
    </r>
  </si>
  <si>
    <r>
      <rPr>
        <i val="true"/>
        <sz val="10"/>
        <color rgb="FF808080"/>
        <rFont val="맑은 고딕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개월</t>
    </r>
  </si>
  <si>
    <t xml:space="preserve">첫 방문 고객에게 인기 있는 조합</t>
  </si>
  <si>
    <r>
      <rPr>
        <i val="true"/>
        <sz val="10"/>
        <color rgb="FF808080"/>
        <rFont val="Noto Sans CJK SC"/>
        <family val="2"/>
      </rPr>
      <t xml:space="preserve">예약상품 </t>
    </r>
    <r>
      <rPr>
        <i val="true"/>
        <sz val="10"/>
        <color rgb="FF808080"/>
        <rFont val="맑은 고딕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건</t>
    </r>
  </si>
  <si>
    <r>
      <rPr>
        <b val="true"/>
        <sz val="14"/>
        <color rgb="FF1F3864"/>
        <rFont val="맑은 고딕"/>
        <family val="0"/>
        <charset val="1"/>
      </rPr>
      <t xml:space="preserve">06. </t>
    </r>
    <r>
      <rPr>
        <b val="true"/>
        <sz val="14"/>
        <color rgb="FF1F3864"/>
        <rFont val="Noto Sans CJK SC"/>
        <family val="2"/>
      </rPr>
      <t xml:space="preserve">예약 상품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실제 판매 형태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</si>
  <si>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같은 시술이라도 파는 방식이 다르면 각각 한 줄씩 적어주세요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'</t>
    </r>
    <r>
      <rPr>
        <sz val="9"/>
        <color rgb="FF7F7F7F"/>
        <rFont val="Noto Sans CJK SC"/>
        <family val="2"/>
      </rPr>
      <t xml:space="preserve">등 관리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를 ①정가 예약 ②첫방문 체험가 로 판다면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줄이 됩니다</t>
    </r>
    <r>
      <rPr>
        <sz val="9"/>
        <color rgb="FF7F7F7F"/>
        <rFont val="맑은 고딕"/>
        <family val="0"/>
        <charset val="1"/>
      </rPr>
      <t xml:space="preserve">. ★ </t>
    </r>
    <r>
      <rPr>
        <sz val="9"/>
        <color rgb="FF7F7F7F"/>
        <rFont val="Noto Sans CJK SC"/>
        <family val="2"/>
      </rPr>
      <t xml:space="preserve">회차권</t>
    </r>
    <r>
      <rPr>
        <sz val="9"/>
        <color rgb="FF7F7F7F"/>
        <rFont val="맑은 고딕"/>
        <family val="0"/>
        <charset val="1"/>
      </rPr>
      <t xml:space="preserve">·10</t>
    </r>
    <r>
      <rPr>
        <sz val="9"/>
        <color rgb="FF7F7F7F"/>
        <rFont val="Noto Sans CJK SC"/>
        <family val="2"/>
      </rPr>
      <t xml:space="preserve">회권은 여기가 아니라 </t>
    </r>
    <r>
      <rPr>
        <sz val="9"/>
        <color rgb="FF7F7F7F"/>
        <rFont val="맑은 고딕"/>
        <family val="0"/>
        <charset val="1"/>
      </rPr>
      <t xml:space="preserve">'05_</t>
    </r>
    <r>
      <rPr>
        <sz val="9"/>
        <color rgb="FF7F7F7F"/>
        <rFont val="Noto Sans CJK SC"/>
        <family val="2"/>
      </rPr>
      <t xml:space="preserve">패키지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에서 만듭니다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만든 패키지를 대상으로 골라 예약을 받으세요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재방문 고객이 예약할 수 있도록 시술마다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정가 판매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Noto Sans CJK SC"/>
        <family val="2"/>
      </rPr>
      <t xml:space="preserve">한 줄은 꼭 넣어주세요</t>
    </r>
    <r>
      <rPr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</si>
  <si>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예약상품명 </t>
    </r>
    <r>
      <rPr>
        <b val="true"/>
        <sz val="10"/>
        <color rgb="FFFFFFFF"/>
        <rFont val="맑은 고딕"/>
        <family val="0"/>
        <charset val="1"/>
      </rPr>
      <t xml:space="preserve">(30</t>
    </r>
    <r>
      <rPr>
        <b val="true"/>
        <sz val="10"/>
        <color rgb="FFFFFFFF"/>
        <rFont val="Noto Sans CJK SC"/>
        <family val="2"/>
      </rPr>
      <t xml:space="preserve">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</si>
  <si>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대상 구분</t>
  </si>
  <si>
    <t xml:space="preserve">대상명</t>
  </si>
  <si>
    <r>
      <rPr>
        <b val="true"/>
        <sz val="10"/>
        <color rgb="FFFFFFFF"/>
        <rFont val="Noto Sans CJK SC"/>
        <family val="2"/>
      </rPr>
      <t xml:space="preserve">포함 시술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</si>
  <si>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판매 유형</t>
  </si>
  <si>
    <t xml:space="preserve">구매 대상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</si>
  <si>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구매 제한</t>
    </r>
  </si>
  <si>
    <t xml:space="preserve">판매 시작일</t>
  </si>
  <si>
    <t xml:space="preserve">판매 종료일</t>
  </si>
  <si>
    <r>
      <rPr>
        <b val="true"/>
        <sz val="10"/>
        <color rgb="FFFFFFFF"/>
        <rFont val="Noto Sans CJK SC"/>
        <family val="2"/>
      </rPr>
      <t xml:space="preserve">예약금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</si>
  <si>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동시 접수 인원</t>
  </si>
  <si>
    <t xml:space="preserve">첫방문 세트 체험</t>
  </si>
  <si>
    <t xml:space="preserve">패키지</t>
  </si>
  <si>
    <t xml:space="preserve">첫방문 체험</t>
  </si>
  <si>
    <t xml:space="preserve">신규만</t>
  </si>
  <si>
    <r>
      <rPr>
        <i val="true"/>
        <sz val="10"/>
        <color rgb="FF808080"/>
        <rFont val="맑은 고딕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회</t>
    </r>
  </si>
  <si>
    <t xml:space="preserve">상시</t>
  </si>
  <si>
    <r>
      <rPr>
        <b val="true"/>
        <sz val="14"/>
        <color rgb="FF1F3864"/>
        <rFont val="맑은 고딕"/>
        <family val="0"/>
        <charset val="1"/>
      </rPr>
      <t xml:space="preserve">07. </t>
    </r>
    <r>
      <rPr>
        <b val="true"/>
        <sz val="14"/>
        <color rgb="FF1F3864"/>
        <rFont val="Noto Sans CJK SC"/>
        <family val="2"/>
      </rPr>
      <t xml:space="preserve">예약 설정</t>
    </r>
  </si>
  <si>
    <r>
      <rPr>
        <sz val="9"/>
        <color rgb="FF7F7F7F"/>
        <rFont val="Noto Sans CJK SC"/>
        <family val="2"/>
      </rPr>
      <t xml:space="preserve">아직 정하지 않으신 항목은 비워두고 상태를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상담필요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로 선택해 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담당자가 함께 정해드립니다</t>
    </r>
    <r>
      <rPr>
        <sz val="9"/>
        <color rgb="FF7F7F7F"/>
        <rFont val="맑은 고딕"/>
        <family val="0"/>
        <charset val="1"/>
      </rPr>
      <t xml:space="preserve">.  ★ </t>
    </r>
    <r>
      <rPr>
        <sz val="9"/>
        <color rgb="FF7F7F7F"/>
        <rFont val="Noto Sans CJK SC"/>
        <family val="2"/>
      </rPr>
      <t xml:space="preserve">첫방문 이벤트는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쿠폰 발급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과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예약상품 할인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Noto Sans CJK SC"/>
        <family val="2"/>
      </rPr>
      <t xml:space="preserve">중 하나만 쓸 수 있습니다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쿠폰을 쓰시면 </t>
    </r>
    <r>
      <rPr>
        <sz val="9"/>
        <color rgb="FF7F7F7F"/>
        <rFont val="맑은 고딕"/>
        <family val="0"/>
        <charset val="1"/>
      </rPr>
      <t xml:space="preserve">06_</t>
    </r>
    <r>
      <rPr>
        <sz val="9"/>
        <color rgb="FF7F7F7F"/>
        <rFont val="Noto Sans CJK SC"/>
        <family val="2"/>
      </rPr>
      <t xml:space="preserve">예약상품에는 정가만 넣고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예약상품 할인을 쓰시면 쿠폰 상세는 비워두세요</t>
    </r>
    <r>
      <rPr>
        <sz val="9"/>
        <color rgb="FF7F7F7F"/>
        <rFont val="맑은 고딕"/>
        <family val="0"/>
        <charset val="1"/>
      </rPr>
      <t xml:space="preserve">.</t>
    </r>
  </si>
  <si>
    <t xml:space="preserve">운영 설정</t>
  </si>
  <si>
    <t xml:space="preserve">온라인 예약 사용</t>
  </si>
  <si>
    <r>
      <rPr>
        <sz val="9"/>
        <color rgb="FF7F7F7F"/>
        <rFont val="맑은 고딕"/>
        <family val="0"/>
        <charset val="1"/>
      </rPr>
      <t xml:space="preserve">N </t>
    </r>
    <r>
      <rPr>
        <sz val="9"/>
        <color rgb="FF7F7F7F"/>
        <rFont val="Noto Sans CJK SC"/>
        <family val="2"/>
      </rPr>
      <t xml:space="preserve">이면 아래 항목은 비워두셔도 됩니다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</si>
  <si>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예약 가능 시작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</si>
  <si>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당일부터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익일부터 </t>
    </r>
    <r>
      <rPr>
        <sz val="9"/>
        <color rgb="FF7F7F7F"/>
        <rFont val="맑은 고딕"/>
        <family val="0"/>
        <charset val="1"/>
      </rPr>
      <t xml:space="preserve">/ 2</t>
    </r>
    <r>
      <rPr>
        <sz val="9"/>
        <color rgb="FF7F7F7F"/>
        <rFont val="Noto Sans CJK SC"/>
        <family val="2"/>
      </rPr>
      <t xml:space="preserve">일 후부터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당일부터</t>
    </r>
  </si>
  <si>
    <t xml:space="preserve">예약 가능 종료</t>
  </si>
  <si>
    <r>
      <rPr>
        <sz val="9"/>
        <color rgb="FF7F7F7F"/>
        <rFont val="Noto Sans CJK SC"/>
        <family val="2"/>
      </rPr>
      <t xml:space="preserve">얼마나 먼 날짜까지 열어둘지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30</t>
    </r>
    <r>
      <rPr>
        <sz val="9"/>
        <color rgb="FF7F7F7F"/>
        <rFont val="Noto Sans CJK SC"/>
        <family val="2"/>
      </rPr>
      <t xml:space="preserve">일 후까지</t>
    </r>
  </si>
  <si>
    <t xml:space="preserve">예약 마감 시점</t>
  </si>
  <si>
    <r>
      <rPr>
        <sz val="9"/>
        <color rgb="FF7F7F7F"/>
        <rFont val="Noto Sans CJK SC"/>
        <family val="2"/>
      </rPr>
      <t xml:space="preserve">이 시점 이후에는 예약을 받지 않습니다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시작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시간 전</t>
    </r>
  </si>
  <si>
    <t xml:space="preserve">취소 가능 시점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</si>
  <si>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시작 </t>
    </r>
    <r>
      <rPr>
        <sz val="9"/>
        <color rgb="FF7F7F7F"/>
        <rFont val="맑은 고딕"/>
        <family val="0"/>
        <charset val="1"/>
      </rPr>
      <t xml:space="preserve">24</t>
    </r>
    <r>
      <rPr>
        <sz val="9"/>
        <color rgb="FF7F7F7F"/>
        <rFont val="Noto Sans CJK SC"/>
        <family val="2"/>
      </rPr>
      <t xml:space="preserve">시간 전</t>
    </r>
  </si>
  <si>
    <t xml:space="preserve">예약 시간 단위</t>
  </si>
  <si>
    <r>
      <rPr>
        <sz val="9"/>
        <color rgb="FF7F7F7F"/>
        <rFont val="맑은 고딕"/>
        <family val="0"/>
        <charset val="1"/>
      </rPr>
      <t xml:space="preserve">30</t>
    </r>
    <r>
      <rPr>
        <sz val="9"/>
        <color rgb="FF7F7F7F"/>
        <rFont val="Noto Sans CJK SC"/>
        <family val="2"/>
      </rPr>
      <t xml:space="preserve">분 </t>
    </r>
    <r>
      <rPr>
        <sz val="9"/>
        <color rgb="FF7F7F7F"/>
        <rFont val="맑은 고딕"/>
        <family val="0"/>
        <charset val="1"/>
      </rPr>
      <t xml:space="preserve">/ 60</t>
    </r>
    <r>
      <rPr>
        <sz val="9"/>
        <color rgb="FF7F7F7F"/>
        <rFont val="Noto Sans CJK SC"/>
        <family val="2"/>
      </rPr>
      <t xml:space="preserve">분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30</t>
    </r>
    <r>
      <rPr>
        <sz val="9"/>
        <color rgb="FF7F7F7F"/>
        <rFont val="Noto Sans CJK SC"/>
        <family val="2"/>
      </rPr>
      <t xml:space="preserve">분</t>
    </r>
  </si>
  <si>
    <t xml:space="preserve">동시 예약 가능 건수</t>
  </si>
  <si>
    <r>
      <rPr>
        <sz val="9"/>
        <color rgb="FF7F7F7F"/>
        <rFont val="Noto Sans CJK SC"/>
        <family val="2"/>
      </rPr>
      <t xml:space="preserve">관리사 인원 기준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2</t>
    </r>
  </si>
  <si>
    <t xml:space="preserve">노쇼 정책</t>
  </si>
  <si>
    <r>
      <rPr>
        <sz val="9"/>
        <color rgb="FF7F7F7F"/>
        <rFont val="Noto Sans CJK SC"/>
        <family val="2"/>
      </rPr>
      <t xml:space="preserve">예약금을 받는 경우 꼭 정해주세요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예약금 환불 불가</t>
    </r>
  </si>
  <si>
    <t xml:space="preserve">첫방문 이벤트</t>
  </si>
  <si>
    <t xml:space="preserve">첫방문 이벤트 사용</t>
  </si>
  <si>
    <r>
      <rPr>
        <sz val="9"/>
        <color rgb="FF7F7F7F"/>
        <rFont val="맑은 고딕"/>
        <family val="0"/>
        <charset val="1"/>
      </rPr>
      <t xml:space="preserve">N </t>
    </r>
    <r>
      <rPr>
        <sz val="9"/>
        <color rgb="FF7F7F7F"/>
        <rFont val="Noto Sans CJK SC"/>
        <family val="2"/>
      </rPr>
      <t xml:space="preserve">이면 아래 항목은 비워두셔도 됩니다</t>
    </r>
  </si>
  <si>
    <t xml:space="preserve">이벤트 방식</t>
  </si>
  <si>
    <r>
      <rPr>
        <sz val="9"/>
        <color rgb="FF7F7F7F"/>
        <rFont val="Noto Sans CJK SC"/>
        <family val="2"/>
      </rPr>
      <t xml:space="preserve">★ 둘 중 하나만 선택할 수 있습니다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쿠폰과 예약상품 할인을 동시에 쓰면 할인이 두 번 적용됩니다</t>
    </r>
  </si>
  <si>
    <t xml:space="preserve">쿠폰 상세</t>
  </si>
  <si>
    <t xml:space="preserve">할인 방식</t>
  </si>
  <si>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이벤트 방식 </t>
    </r>
    <r>
      <rPr>
        <sz val="9"/>
        <color rgb="FF7F7F7F"/>
        <rFont val="맑은 고딕"/>
        <family val="0"/>
        <charset val="1"/>
      </rPr>
      <t xml:space="preserve">= </t>
    </r>
    <r>
      <rPr>
        <sz val="9"/>
        <color rgb="FF7F7F7F"/>
        <rFont val="Noto Sans CJK SC"/>
        <family val="2"/>
      </rPr>
      <t xml:space="preserve">쿠폰 발급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일 때만 작성</t>
    </r>
  </si>
  <si>
    <t xml:space="preserve">할인 값</t>
  </si>
  <si>
    <r>
      <rPr>
        <sz val="9"/>
        <color rgb="FF7F7F7F"/>
        <rFont val="Noto Sans CJK SC"/>
        <family val="2"/>
      </rPr>
      <t xml:space="preserve">정액이면 원 단위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정률이면 </t>
    </r>
    <r>
      <rPr>
        <sz val="9"/>
        <color rgb="FF7F7F7F"/>
        <rFont val="맑은 고딕"/>
        <family val="0"/>
        <charset val="1"/>
      </rPr>
      <t xml:space="preserve">% </t>
    </r>
    <r>
      <rPr>
        <sz val="9"/>
        <color rgb="FF7F7F7F"/>
        <rFont val="Noto Sans CJK SC"/>
        <family val="2"/>
      </rPr>
      <t xml:space="preserve">숫자만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50000</t>
    </r>
  </si>
  <si>
    <t xml:space="preserve">적용 대상 시술</t>
  </si>
  <si>
    <r>
      <rPr>
        <sz val="9"/>
        <color rgb="FF7F7F7F"/>
        <rFont val="Noto Sans CJK SC"/>
        <family val="2"/>
      </rPr>
      <t xml:space="preserve">특정 시술만이면 시술명을 적어주세요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전체 시술</t>
    </r>
  </si>
  <si>
    <t xml:space="preserve">최소 결제 금액</t>
  </si>
  <si>
    <r>
      <rPr>
        <sz val="9"/>
        <color rgb="FF7F7F7F"/>
        <rFont val="Noto Sans CJK SC"/>
        <family val="2"/>
      </rPr>
      <t xml:space="preserve">조건이 없으면 </t>
    </r>
    <r>
      <rPr>
        <sz val="9"/>
        <color rgb="FF7F7F7F"/>
        <rFont val="맑은 고딕"/>
        <family val="0"/>
        <charset val="1"/>
      </rPr>
      <t xml:space="preserve">0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50000</t>
    </r>
  </si>
  <si>
    <t xml:space="preserve">다른 할인과 중복 사용</t>
  </si>
  <si>
    <t xml:space="preserve">Y / N</t>
  </si>
  <si>
    <t xml:space="preserve">쿠폰 유효기간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</si>
  <si>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발급일로부터 </t>
    </r>
    <r>
      <rPr>
        <sz val="9"/>
        <color rgb="FF7F7F7F"/>
        <rFont val="맑은 고딕"/>
        <family val="0"/>
        <charset val="1"/>
      </rPr>
      <t xml:space="preserve">30</t>
    </r>
    <r>
      <rPr>
        <sz val="9"/>
        <color rgb="FF7F7F7F"/>
        <rFont val="Noto Sans CJK SC"/>
        <family val="2"/>
      </rPr>
      <t xml:space="preserve">일</t>
    </r>
  </si>
  <si>
    <t xml:space="preserve">쿠폰 발급 경로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</si>
  <si>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네이버 예약 쿠폰 </t>
    </r>
    <r>
      <rPr>
        <sz val="9"/>
        <color rgb="FF7F7F7F"/>
        <rFont val="맑은 고딕"/>
        <family val="0"/>
        <charset val="1"/>
      </rPr>
      <t xml:space="preserve">+ </t>
    </r>
    <r>
      <rPr>
        <sz val="9"/>
        <color rgb="FF7F7F7F"/>
        <rFont val="Noto Sans CJK SC"/>
        <family val="2"/>
      </rPr>
      <t xml:space="preserve">문자 발송</t>
    </r>
  </si>
  <si>
    <t xml:space="preserve">신규 고객 확인</t>
  </si>
  <si>
    <t xml:space="preserve">신규 판정 방식</t>
  </si>
  <si>
    <r>
      <rPr>
        <sz val="9"/>
        <color rgb="FF7F7F7F"/>
        <rFont val="Noto Sans CJK SC"/>
        <family val="2"/>
      </rPr>
      <t xml:space="preserve">첫방문 혜택을 누구에게 줄지 판단하는 방법입니다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원장님이 선택해 주세요</t>
    </r>
  </si>
  <si>
    <t xml:space="preserve">신규 확인 안내 문구</t>
  </si>
  <si>
    <t xml:space="preserve">신규가 아닐 경우 처리</t>
  </si>
  <si>
    <t xml:space="preserve">현장에서 신규가 아닌 것으로 확인됐을 때</t>
  </si>
  <si>
    <t xml:space="preserve">알림 설정</t>
  </si>
  <si>
    <t xml:space="preserve">알림톡 사용</t>
  </si>
  <si>
    <t xml:space="preserve">예약 확정 알림</t>
  </si>
  <si>
    <r>
      <rPr>
        <sz val="9"/>
        <color rgb="FF7F7F7F"/>
        <rFont val="Noto Sans CJK SC"/>
        <family val="2"/>
      </rPr>
      <t xml:space="preserve">고객에게 즉시 발송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Y</t>
    </r>
  </si>
  <si>
    <t xml:space="preserve">예약 확정 안내 문구</t>
  </si>
  <si>
    <r>
      <rPr>
        <sz val="10"/>
        <rFont val="Noto Sans CJK SC"/>
        <family val="2"/>
      </rPr>
      <t xml:space="preserve">리마인드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시점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</si>
  <si>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 전</t>
    </r>
  </si>
  <si>
    <t xml:space="preserve">방문 며칠 전에 알려드릴지 선택해 주세요</t>
  </si>
  <si>
    <r>
      <rPr>
        <sz val="10"/>
        <rFont val="Noto Sans CJK SC"/>
        <family val="2"/>
      </rPr>
      <t xml:space="preserve">리마인드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발송 시각</t>
    </r>
  </si>
  <si>
    <r>
      <rPr>
        <sz val="10"/>
        <rFont val="Noto Sans CJK SC"/>
        <family val="2"/>
      </rPr>
      <t xml:space="preserve">오후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시</t>
    </r>
  </si>
  <si>
    <t xml:space="preserve">그날 몇 시에 보낼지 선택해 주세요</t>
  </si>
  <si>
    <r>
      <rPr>
        <sz val="10"/>
        <rFont val="Noto Sans CJK SC"/>
        <family val="2"/>
      </rPr>
      <t xml:space="preserve">리마인드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시점</t>
    </r>
  </si>
  <si>
    <t xml:space="preserve">미발송</t>
  </si>
  <si>
    <r>
      <rPr>
        <sz val="9"/>
        <color rgb="FF7F7F7F"/>
        <rFont val="Noto Sans CJK SC"/>
        <family val="2"/>
      </rPr>
      <t xml:space="preserve">한 번만 보내시려면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미발송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을 선택하세요</t>
    </r>
  </si>
  <si>
    <r>
      <rPr>
        <sz val="10"/>
        <rFont val="Noto Sans CJK SC"/>
        <family val="2"/>
      </rPr>
      <t xml:space="preserve">리마인드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발송 시각</t>
    </r>
  </si>
  <si>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차를 사용할 때만</t>
    </r>
  </si>
  <si>
    <t xml:space="preserve">리마인드 안내 문구</t>
  </si>
  <si>
    <t xml:space="preserve">취소 알림</t>
  </si>
  <si>
    <t xml:space="preserve">예약 취소 안내 문구</t>
  </si>
  <si>
    <t xml:space="preserve">관리자 수신 번호</t>
  </si>
  <si>
    <r>
      <rPr>
        <sz val="9"/>
        <color rgb="FF7F7F7F"/>
        <rFont val="Noto Sans CJK SC"/>
        <family val="2"/>
      </rPr>
      <t xml:space="preserve">새 예약이 들어올 때 받을 번호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010-1234-5678</t>
    </r>
  </si>
  <si>
    <t xml:space="preserve">예약자 정보요청</t>
  </si>
  <si>
    <t xml:space="preserve">이름</t>
  </si>
  <si>
    <r>
      <rPr>
        <sz val="9"/>
        <color rgb="FF7F7F7F"/>
        <rFont val="Noto Sans CJK SC"/>
        <family val="2"/>
      </rPr>
      <t xml:space="preserve">필수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선택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미사용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필수</t>
    </r>
  </si>
  <si>
    <t xml:space="preserve">성별</t>
  </si>
  <si>
    <r>
      <rPr>
        <sz val="9"/>
        <color rgb="FF7F7F7F"/>
        <rFont val="Noto Sans CJK SC"/>
        <family val="2"/>
      </rPr>
      <t xml:space="preserve">필수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선택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미사용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선택</t>
    </r>
  </si>
  <si>
    <t xml:space="preserve">생년월일</t>
  </si>
  <si>
    <r>
      <rPr>
        <sz val="9"/>
        <color rgb="FF7F7F7F"/>
        <rFont val="Noto Sans CJK SC"/>
        <family val="2"/>
      </rPr>
      <t xml:space="preserve">필수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선택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미사용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미사용</t>
    </r>
  </si>
  <si>
    <t xml:space="preserve">피부 고민</t>
  </si>
  <si>
    <r>
      <rPr>
        <sz val="9"/>
        <color rgb="FF7F7F7F"/>
        <rFont val="Noto Sans CJK SC"/>
        <family val="2"/>
      </rPr>
      <t xml:space="preserve">시술 준비에 도움이 됩니다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선택</t>
    </r>
  </si>
  <si>
    <r>
      <rPr>
        <sz val="10"/>
        <rFont val="Noto Sans CJK SC"/>
        <family val="2"/>
      </rPr>
      <t xml:space="preserve">시술 이력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알레르기</t>
    </r>
  </si>
  <si>
    <r>
      <rPr>
        <sz val="9"/>
        <color rgb="FF7F7F7F"/>
        <rFont val="Noto Sans CJK SC"/>
        <family val="2"/>
      </rPr>
      <t xml:space="preserve">안전 확인용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선택</t>
    </r>
  </si>
  <si>
    <t xml:space="preserve">방문 경로</t>
  </si>
  <si>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검색 </t>
    </r>
    <r>
      <rPr>
        <sz val="9"/>
        <color rgb="FF7F7F7F"/>
        <rFont val="맑은 고딕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지인 소개 </t>
    </r>
    <r>
      <rPr>
        <sz val="9"/>
        <color rgb="FF7F7F7F"/>
        <rFont val="맑은 고딕"/>
        <family val="0"/>
        <charset val="1"/>
      </rPr>
      <t xml:space="preserve">/ SNS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선택</t>
    </r>
  </si>
  <si>
    <t xml:space="preserve">요청 사항</t>
  </si>
  <si>
    <r>
      <rPr>
        <sz val="9"/>
        <color rgb="FF7F7F7F"/>
        <rFont val="Noto Sans CJK SC"/>
        <family val="2"/>
      </rPr>
      <t xml:space="preserve">자유 입력란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</t>
    </r>
    <r>
      <rPr>
        <sz val="9"/>
        <color rgb="FF7F7F7F"/>
        <rFont val="Noto Sans CJK SC"/>
        <family val="2"/>
      </rPr>
      <t xml:space="preserve">선택</t>
    </r>
  </si>
  <si>
    <r>
      <rPr>
        <b val="true"/>
        <sz val="14"/>
        <color rgb="FF1F3864"/>
        <rFont val="맑은 고딕"/>
        <family val="0"/>
        <charset val="1"/>
      </rPr>
      <t xml:space="preserve">08. </t>
    </r>
    <r>
      <rPr>
        <b val="true"/>
        <sz val="14"/>
        <color rgb="FF1F3864"/>
        <rFont val="Noto Sans CJK SC"/>
        <family val="2"/>
      </rPr>
      <t xml:space="preserve">스마트콜</t>
    </r>
  </si>
  <si>
    <r>
      <rPr>
        <sz val="9"/>
        <color rgb="FF7F7F7F"/>
        <rFont val="Noto Sans CJK SC"/>
        <family val="2"/>
      </rPr>
      <t xml:space="preserve">선택 서비스입니다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사용하지 않으시면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스마트콜 사용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만 </t>
    </r>
    <r>
      <rPr>
        <sz val="9"/>
        <color rgb="FF7F7F7F"/>
        <rFont val="맑은 고딕"/>
        <family val="0"/>
        <charset val="1"/>
      </rPr>
      <t xml:space="preserve">N </t>
    </r>
    <r>
      <rPr>
        <sz val="9"/>
        <color rgb="FF7F7F7F"/>
        <rFont val="Noto Sans CJK SC"/>
        <family val="2"/>
      </rPr>
      <t xml:space="preserve">으로 표시하고 넘어가셔도 됩니다</t>
    </r>
    <r>
      <rPr>
        <sz val="9"/>
        <color rgb="FF7F7F7F"/>
        <rFont val="맑은 고딕"/>
        <family val="0"/>
        <charset val="1"/>
      </rPr>
      <t xml:space="preserve">. ★ </t>
    </r>
    <r>
      <rPr>
        <sz val="9"/>
        <color rgb="FF7F7F7F"/>
        <rFont val="Noto Sans CJK SC"/>
        <family val="2"/>
      </rPr>
      <t xml:space="preserve">분기 멘트에는 기본 문구가 미리 입력되어 있습니다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우리 샵에 맞게 고쳐야 할 부분만 수정해 주세요</t>
    </r>
    <r>
      <rPr>
        <sz val="9"/>
        <color rgb="FF7F7F7F"/>
        <rFont val="맑은 고딕"/>
        <family val="0"/>
        <charset val="1"/>
      </rPr>
      <t xml:space="preserve">.  ▸ </t>
    </r>
    <r>
      <rPr>
        <sz val="9"/>
        <color rgb="FF7F7F7F"/>
        <rFont val="Noto Sans CJK SC"/>
        <family val="2"/>
      </rPr>
      <t xml:space="preserve">통화 흐름</t>
    </r>
    <r>
      <rPr>
        <sz val="9"/>
        <color rgb="FF7F7F7F"/>
        <rFont val="맑은 고딕"/>
        <family val="0"/>
        <charset val="1"/>
      </rPr>
      <t xml:space="preserve">: </t>
    </r>
    <r>
      <rPr>
        <sz val="9"/>
        <color rgb="FF7F7F7F"/>
        <rFont val="Noto Sans CJK SC"/>
        <family val="2"/>
      </rPr>
      <t xml:space="preserve">고객이 </t>
    </r>
    <r>
      <rPr>
        <sz val="9"/>
        <color rgb="FF7F7F7F"/>
        <rFont val="맑은 고딕"/>
        <family val="0"/>
        <charset val="1"/>
      </rPr>
      <t xml:space="preserve">0507 </t>
    </r>
    <r>
      <rPr>
        <sz val="9"/>
        <color rgb="FF7F7F7F"/>
        <rFont val="Noto Sans CJK SC"/>
        <family val="2"/>
      </rPr>
      <t xml:space="preserve">번호로 전화 → </t>
    </r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차 연결 번호</t>
    </r>
    <r>
      <rPr>
        <sz val="9"/>
        <color rgb="FF7F7F7F"/>
        <rFont val="맑은 고딕"/>
        <family val="0"/>
        <charset val="1"/>
      </rPr>
      <t xml:space="preserve">(01_</t>
    </r>
    <r>
      <rPr>
        <sz val="9"/>
        <color rgb="FF7F7F7F"/>
        <rFont val="Noto Sans CJK SC"/>
        <family val="2"/>
      </rPr>
      <t xml:space="preserve">기본정보 대표 전화</t>
    </r>
    <r>
      <rPr>
        <sz val="9"/>
        <color rgb="FF7F7F7F"/>
        <rFont val="맑은 고딕"/>
        <family val="0"/>
        <charset val="1"/>
      </rPr>
      <t xml:space="preserve">)</t>
    </r>
    <r>
      <rPr>
        <sz val="9"/>
        <color rgb="FF7F7F7F"/>
        <rFont val="Noto Sans CJK SC"/>
        <family val="2"/>
      </rPr>
      <t xml:space="preserve">로 착신 → 받지 않으면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차 연결 번호로 전환됩니다</t>
    </r>
    <r>
      <rPr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</si>
  <si>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스마트 </t>
    </r>
    <r>
      <rPr>
        <b val="true"/>
        <sz val="10"/>
        <color rgb="FF1F3864"/>
        <rFont val="맑은 고딕"/>
        <family val="0"/>
        <charset val="1"/>
      </rPr>
      <t xml:space="preserve">ARS</t>
    </r>
  </si>
  <si>
    <r>
      <rPr>
        <sz val="10"/>
        <rFont val="Noto Sans CJK SC"/>
        <family val="2"/>
      </rPr>
      <t xml:space="preserve">스마트 </t>
    </r>
    <r>
      <rPr>
        <sz val="10"/>
        <rFont val="맑은 고딕"/>
        <family val="0"/>
        <charset val="1"/>
      </rPr>
      <t xml:space="preserve">ARS</t>
    </r>
  </si>
  <si>
    <t xml:space="preserve">스마트콜 사용</t>
  </si>
  <si>
    <r>
      <rPr>
        <sz val="10"/>
        <rFont val="Noto Sans CJK SC"/>
        <family val="2"/>
      </rPr>
      <t xml:space="preserve">스마트콜 번호 </t>
    </r>
    <r>
      <rPr>
        <sz val="10"/>
        <rFont val="맑은 고딕"/>
        <family val="0"/>
        <charset val="1"/>
      </rPr>
      <t xml:space="preserve">(0507)</t>
    </r>
  </si>
  <si>
    <r>
      <rPr>
        <sz val="9"/>
        <color rgb="FF7F7F7F"/>
        <rFont val="Noto Sans CJK SC"/>
        <family val="2"/>
      </rPr>
      <t xml:space="preserve">네이버가 발급하는 번호로</t>
    </r>
    <r>
      <rPr>
        <sz val="9"/>
        <color rgb="FF7F7F7F"/>
        <rFont val="맑은 고딕"/>
        <family val="0"/>
        <charset val="1"/>
      </rPr>
      <t xml:space="preserve">, </t>
    </r>
    <r>
      <rPr>
        <sz val="9"/>
        <color rgb="FF7F7F7F"/>
        <rFont val="Noto Sans CJK SC"/>
        <family val="2"/>
      </rPr>
      <t xml:space="preserve">고객에게는 이 번호가 보입니다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아직 없으면 비워두세요 </t>
    </r>
    <r>
      <rPr>
        <sz val="9"/>
        <color rgb="FF7F7F7F"/>
        <rFont val="맑은 고딕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담당자가 발급</t>
    </r>
    <r>
      <rPr>
        <sz val="9"/>
        <color rgb="FF7F7F7F"/>
        <rFont val="맑은 고딕"/>
        <family val="0"/>
        <charset val="1"/>
      </rPr>
      <t xml:space="preserve">)  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0507-1234-5678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</si>
  <si>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연결 번호</t>
    </r>
  </si>
  <si>
    <r>
      <rPr>
        <sz val="9"/>
        <color rgb="FF7F7F7F"/>
        <rFont val="맑은 고딕"/>
        <family val="0"/>
        <charset val="1"/>
      </rPr>
      <t xml:space="preserve">01_</t>
    </r>
    <r>
      <rPr>
        <sz val="9"/>
        <color rgb="FF7F7F7F"/>
        <rFont val="Noto Sans CJK SC"/>
        <family val="2"/>
      </rPr>
      <t xml:space="preserve">기본정보 </t>
    </r>
    <r>
      <rPr>
        <sz val="9"/>
        <color rgb="FF7F7F7F"/>
        <rFont val="맑은 고딕"/>
        <family val="0"/>
        <charset val="1"/>
      </rPr>
      <t xml:space="preserve">&gt; </t>
    </r>
    <r>
      <rPr>
        <sz val="9"/>
        <color rgb="FF7F7F7F"/>
        <rFont val="Noto Sans CJK SC"/>
        <family val="2"/>
      </rPr>
      <t xml:space="preserve">연락처 </t>
    </r>
    <r>
      <rPr>
        <sz val="9"/>
        <color rgb="FF7F7F7F"/>
        <rFont val="맑은 고딕"/>
        <family val="0"/>
        <charset val="1"/>
      </rPr>
      <t xml:space="preserve">&gt; </t>
    </r>
    <r>
      <rPr>
        <sz val="9"/>
        <color rgb="FF7F7F7F"/>
        <rFont val="Noto Sans CJK SC"/>
        <family val="2"/>
      </rPr>
      <t xml:space="preserve">대표 전화가 자동으로 사용됩니다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</si>
  <si>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연결 번호</t>
    </r>
  </si>
  <si>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차 번호로 연결되지 않을 때 대신 받을 번호입니다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원장님 개인 휴대폰 등  </t>
    </r>
    <r>
      <rPr>
        <sz val="9"/>
        <color rgb="FF7F7F7F"/>
        <rFont val="맑은 고딕"/>
        <family val="0"/>
        <charset val="1"/>
      </rPr>
      <t xml:space="preserve">|  </t>
    </r>
    <r>
      <rPr>
        <sz val="9"/>
        <color rgb="FF7F7F7F"/>
        <rFont val="Noto Sans CJK SC"/>
        <family val="2"/>
      </rPr>
      <t xml:space="preserve">예</t>
    </r>
    <r>
      <rPr>
        <sz val="9"/>
        <color rgb="FF7F7F7F"/>
        <rFont val="맑은 고딕"/>
        <family val="0"/>
        <charset val="1"/>
      </rPr>
      <t xml:space="preserve">) 010-9876-5432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</si>
  <si>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전환 대기 시간</t>
    </r>
  </si>
  <si>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초</t>
    </r>
  </si>
  <si>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차 번호가 이 시간 동안 안 받으면 </t>
    </r>
    <r>
      <rPr>
        <sz val="9"/>
        <color rgb="FF7F7F7F"/>
        <rFont val="맑은 고딕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차로 넘어갑니다</t>
    </r>
  </si>
  <si>
    <t xml:space="preserve">인사 멘트</t>
  </si>
  <si>
    <r>
      <rPr>
        <sz val="10"/>
        <rFont val="Noto Sans CJK SC"/>
        <family val="2"/>
      </rPr>
      <t xml:space="preserve">안녕하세요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라온에스테틱입니다</t>
    </r>
    <r>
      <rPr>
        <sz val="10"/>
        <rFont val="맑은 고딕"/>
        <family val="0"/>
        <charset val="1"/>
      </rPr>
      <t xml:space="preserve">.</t>
    </r>
  </si>
  <si>
    <t xml:space="preserve">전화 연결 시 가장 먼저 나오는 안내입니다</t>
  </si>
  <si>
    <r>
      <rPr>
        <b val="true"/>
        <sz val="10"/>
        <color rgb="FF1F3864"/>
        <rFont val="맑은 고딕"/>
        <family val="0"/>
        <charset val="1"/>
      </rPr>
      <t xml:space="preserve">ARS </t>
    </r>
    <r>
      <rPr>
        <b val="true"/>
        <sz val="10"/>
        <color rgb="FF1F3864"/>
        <rFont val="Noto Sans CJK SC"/>
        <family val="2"/>
      </rPr>
      <t xml:space="preserve">분기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</si>
  <si>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통화연결</t>
    </r>
  </si>
  <si>
    <t xml:space="preserve">사용 여부</t>
  </si>
  <si>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번은 상담원 연결입니다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끄시면 다른 분기의 </t>
    </r>
    <r>
      <rPr>
        <sz val="9"/>
        <color rgb="FF7F7F7F"/>
        <rFont val="맑은 고딕"/>
        <family val="0"/>
        <charset val="1"/>
      </rPr>
      <t xml:space="preserve">'1</t>
    </r>
    <r>
      <rPr>
        <sz val="9"/>
        <color rgb="FF7F7F7F"/>
        <rFont val="Noto Sans CJK SC"/>
        <family val="2"/>
      </rPr>
      <t xml:space="preserve">번을 눌러주세요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Noto Sans CJK SC"/>
        <family val="2"/>
      </rPr>
      <t xml:space="preserve">안내도 빼야 합니다</t>
    </r>
  </si>
  <si>
    <t xml:space="preserve">안내 멘트</t>
  </si>
  <si>
    <r>
      <rPr>
        <sz val="10"/>
        <rFont val="Noto Sans CJK SC"/>
        <family val="2"/>
      </rPr>
      <t xml:space="preserve">상담원을 연결해 드리겠습니다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잠시만 기다려 주세요</t>
    </r>
    <r>
      <rPr>
        <sz val="10"/>
        <rFont val="맑은 고딕"/>
        <family val="0"/>
        <charset val="1"/>
      </rPr>
      <t xml:space="preserve">.</t>
    </r>
  </si>
  <si>
    <t xml:space="preserve">연결 직전에 나올 안내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</si>
  <si>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예약안내</t>
    </r>
  </si>
  <si>
    <r>
      <rPr>
        <sz val="10"/>
        <rFont val="Noto Sans CJK SC"/>
        <family val="2"/>
      </rPr>
      <t xml:space="preserve">네이버 예약 방법이 문자로 발송되었습니다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통화 연결을 원하시면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번을 눌러주세요</t>
    </r>
    <r>
      <rPr>
        <sz val="10"/>
        <rFont val="맑은 고딕"/>
        <family val="0"/>
        <charset val="1"/>
      </rPr>
      <t xml:space="preserve">.</t>
    </r>
  </si>
  <si>
    <t xml:space="preserve">네이버 예약 방법 안내 후 문자 발송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</si>
  <si>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오시는길</t>
    </r>
  </si>
  <si>
    <r>
      <rPr>
        <sz val="10"/>
        <rFont val="Noto Sans CJK SC"/>
        <family val="2"/>
      </rPr>
      <t xml:space="preserve">찾아오시는 길 정보가 문자로 발송되었습니다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통화 연결을 원하시면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번을 눌러주세요</t>
    </r>
    <r>
      <rPr>
        <sz val="10"/>
        <rFont val="맑은 고딕"/>
        <family val="0"/>
        <charset val="1"/>
      </rPr>
      <t xml:space="preserve">.</t>
    </r>
  </si>
  <si>
    <t xml:space="preserve">찾아오는 길 안내 후 문자 발송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</si>
  <si>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번 주차안내</t>
    </r>
  </si>
  <si>
    <r>
      <rPr>
        <sz val="10"/>
        <rFont val="Noto Sans CJK SC"/>
        <family val="2"/>
      </rPr>
      <t xml:space="preserve">주차는 건물 지하 주차장을 이용하시면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주차 요금은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분 동안 무료입니다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통화 연결을 원하시면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번을 눌러주세요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</si>
  <si>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7F7F7F"/>
        <rFont val="맑은 고딕"/>
        <family val="0"/>
        <charset val="1"/>
      </rPr>
      <t xml:space="preserve">02_</t>
    </r>
    <r>
      <rPr>
        <sz val="9"/>
        <color rgb="FF7F7F7F"/>
        <rFont val="Noto Sans CJK SC"/>
        <family val="2"/>
      </rPr>
      <t xml:space="preserve">부가정보의 주차 내용과 일치시켜 주세요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</si>
  <si>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 영업시간</t>
    </r>
  </si>
  <si>
    <r>
      <rPr>
        <sz val="10"/>
        <rFont val="Noto Sans CJK SC"/>
        <family val="2"/>
      </rPr>
      <t xml:space="preserve">영업시간은 평일 오전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시부터 오후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시까지이며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휴일은 오전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시부터 오후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시까지입니다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일요일은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시까지입니다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통화 연결을 원하시면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번을 눌러주세요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</si>
  <si>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7F7F7F"/>
        <rFont val="맑은 고딕"/>
        <family val="0"/>
        <charset val="1"/>
      </rPr>
      <t xml:space="preserve">03_</t>
    </r>
    <r>
      <rPr>
        <sz val="9"/>
        <color rgb="FF7F7F7F"/>
        <rFont val="Noto Sans CJK SC"/>
        <family val="2"/>
      </rPr>
      <t xml:space="preserve">영업시간 탭과 일치시켜 주세요</t>
    </r>
  </si>
  <si>
    <t xml:space="preserve">기타 안내</t>
  </si>
  <si>
    <t xml:space="preserve">영업시간 외 안내</t>
  </si>
  <si>
    <r>
      <rPr>
        <sz val="10"/>
        <rFont val="Noto Sans CJK SC"/>
        <family val="2"/>
      </rPr>
      <t xml:space="preserve">지금은 영업시간이 아닙니다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예약은 네이버에서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가능합니다</t>
    </r>
    <r>
      <rPr>
        <sz val="10"/>
        <rFont val="맑은 고딕"/>
        <family val="0"/>
        <charset val="1"/>
      </rPr>
      <t xml:space="preserve">.</t>
    </r>
  </si>
  <si>
    <t xml:space="preserve">영업시간이 아닐 때 나올 안내</t>
  </si>
  <si>
    <t xml:space="preserve">부재중 안내</t>
  </si>
  <si>
    <r>
      <rPr>
        <sz val="10"/>
        <rFont val="Noto Sans CJK SC"/>
        <family val="2"/>
      </rPr>
      <t xml:space="preserve">시술 중이라 전화를 받지 못했습니다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문자 남겨주시면 확인 후 회신드리겠습니다</t>
    </r>
    <r>
      <rPr>
        <sz val="10"/>
        <rFont val="맑은 고딕"/>
        <family val="0"/>
        <charset val="1"/>
      </rPr>
      <t xml:space="preserve">.</t>
    </r>
  </si>
  <si>
    <t xml:space="preserve">받지 못했을 때 나올 안내</t>
  </si>
  <si>
    <t xml:space="preserve">통화 연결음</t>
  </si>
  <si>
    <t xml:space="preserve">통화 연결음 사용</t>
  </si>
  <si>
    <t xml:space="preserve">연결음 멘트</t>
  </si>
  <si>
    <r>
      <rPr>
        <sz val="10"/>
        <rFont val="Noto Sans CJK SC"/>
        <family val="2"/>
      </rPr>
      <t xml:space="preserve">안녕하세요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라온에스테틱입니다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이달의 첫방문 체험 이벤트를 진행 중입니다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네이버 스마트플레이스에서 확인하실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잠시만 기다려 주세요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</si>
  <si>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7F7F7F"/>
        <rFont val="Noto Sans CJK SC"/>
        <family val="2"/>
      </rPr>
      <t xml:space="preserve">고객이 연결을 기다리는 동안 나옵니다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홍보 문구를 넣을 수 있습니다</t>
    </r>
  </si>
  <si>
    <t xml:space="preserve">배경 음악</t>
  </si>
  <si>
    <t xml:space="preserve">잔잔하고 편안한 분위기</t>
  </si>
  <si>
    <t xml:space="preserve">선호하는 분위기를 적어주세요</t>
  </si>
  <si>
    <r>
      <rPr>
        <b val="true"/>
        <sz val="14"/>
        <color rgb="FF1F3864"/>
        <rFont val="맑은 고딕"/>
        <family val="0"/>
        <charset val="1"/>
      </rPr>
      <t xml:space="preserve">09. </t>
    </r>
    <r>
      <rPr>
        <b val="true"/>
        <sz val="14"/>
        <color rgb="FF1F3864"/>
        <rFont val="Noto Sans CJK SC"/>
        <family val="2"/>
      </rPr>
      <t xml:space="preserve">이미지 목록</t>
    </r>
  </si>
  <si>
    <r>
      <rPr>
        <sz val="9"/>
        <color rgb="FF7F7F7F"/>
        <rFont val="Noto Sans CJK SC"/>
        <family val="2"/>
      </rPr>
      <t xml:space="preserve">사진 파일은 함께 안내드린 구글 드라이브 폴더에 올려주세요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이 표에는 어떤 사진인지만 적어주시면 됩니다</t>
    </r>
    <r>
      <rPr>
        <sz val="9"/>
        <color rgb="FF7F7F7F"/>
        <rFont val="맑은 고딕"/>
        <family val="0"/>
        <charset val="1"/>
      </rPr>
      <t xml:space="preserve">. ★ </t>
    </r>
    <r>
      <rPr>
        <sz val="9"/>
        <color rgb="FF7F7F7F"/>
        <rFont val="Noto Sans CJK SC"/>
        <family val="2"/>
      </rPr>
      <t xml:space="preserve">모든 이미지는 장당 </t>
    </r>
    <r>
      <rPr>
        <sz val="9"/>
        <color rgb="FF7F7F7F"/>
        <rFont val="맑은 고딕"/>
        <family val="0"/>
        <charset val="1"/>
      </rPr>
      <t xml:space="preserve">20MB </t>
    </r>
    <r>
      <rPr>
        <sz val="9"/>
        <color rgb="FF7F7F7F"/>
        <rFont val="Noto Sans CJK SC"/>
        <family val="2"/>
      </rPr>
      <t xml:space="preserve">이하여야 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드라이브 링크는 담당자가 채웁니다</t>
    </r>
    <r>
      <rPr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</si>
  <si>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① 업체 사진  </t>
    </r>
    <r>
      <rPr>
        <b val="true"/>
        <sz val="10"/>
        <color rgb="FF1F3864"/>
        <rFont val="맑은 고딕"/>
        <family val="0"/>
        <charset val="1"/>
      </rPr>
      <t xml:space="preserve">·  </t>
    </r>
    <r>
      <rPr>
        <b val="true"/>
        <sz val="10"/>
        <color rgb="FF1F3864"/>
        <rFont val="Noto Sans CJK SC"/>
        <family val="2"/>
      </rPr>
      <t xml:space="preserve">스마트플레이스 메인 화면 노출  </t>
    </r>
    <r>
      <rPr>
        <b val="true"/>
        <sz val="10"/>
        <color rgb="FF1F3864"/>
        <rFont val="맑은 고딕"/>
        <family val="0"/>
        <charset val="1"/>
      </rPr>
      <t xml:space="preserve">·  </t>
    </r>
    <r>
      <rPr>
        <b val="true"/>
        <sz val="10"/>
        <color rgb="FF1F3864"/>
        <rFont val="Noto Sans CJK SC"/>
        <family val="2"/>
      </rPr>
      <t xml:space="preserve">최대 </t>
    </r>
    <r>
      <rPr>
        <b val="true"/>
        <sz val="10"/>
        <color rgb="FF1F3864"/>
        <rFont val="맑은 고딕"/>
        <family val="0"/>
        <charset val="1"/>
      </rPr>
      <t xml:space="preserve">120</t>
    </r>
    <r>
      <rPr>
        <b val="true"/>
        <sz val="10"/>
        <color rgb="FF1F3864"/>
        <rFont val="Noto Sans CJK SC"/>
        <family val="2"/>
      </rPr>
      <t xml:space="preserve">장 </t>
    </r>
    <r>
      <rPr>
        <b val="true"/>
        <sz val="10"/>
        <color rgb="FF1F3864"/>
        <rFont val="맑은 고딕"/>
        <family val="0"/>
        <charset val="1"/>
      </rPr>
      <t xml:space="preserve">· </t>
    </r>
    <r>
      <rPr>
        <b val="true"/>
        <sz val="10"/>
        <color rgb="FF1F3864"/>
        <rFont val="Noto Sans CJK SC"/>
        <family val="2"/>
      </rPr>
      <t xml:space="preserve">장당 </t>
    </r>
    <r>
      <rPr>
        <b val="true"/>
        <sz val="10"/>
        <color rgb="FF1F3864"/>
        <rFont val="맑은 고딕"/>
        <family val="0"/>
        <charset val="1"/>
      </rPr>
      <t xml:space="preserve">20MB</t>
    </r>
  </si>
  <si>
    <r>
      <rPr>
        <b val="true"/>
        <sz val="10"/>
        <color rgb="FFFFFFFF"/>
        <rFont val="Noto Sans CJK SC"/>
        <family val="2"/>
      </rPr>
      <t xml:space="preserve">세부 용도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연결 대상</t>
    </r>
  </si>
  <si>
    <t xml:space="preserve">파일명</t>
  </si>
  <si>
    <t xml:space="preserve">대표 여부</t>
  </si>
  <si>
    <t xml:space="preserve">드라이브 링크</t>
  </si>
  <si>
    <t xml:space="preserve">업체 사진</t>
  </si>
  <si>
    <t xml:space="preserve">외관</t>
  </si>
  <si>
    <r>
      <rPr>
        <i val="true"/>
        <sz val="10"/>
        <color rgb="FF808080"/>
        <rFont val="Noto Sans CJK SC"/>
        <family val="2"/>
      </rPr>
      <t xml:space="preserve">외관</t>
    </r>
    <r>
      <rPr>
        <i val="true"/>
        <sz val="10"/>
        <color rgb="FF808080"/>
        <rFont val="맑은 고딕"/>
        <family val="0"/>
        <charset val="1"/>
      </rPr>
      <t xml:space="preserve">_01.jpg</t>
    </r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</si>
  <si>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담당자가 채웁니다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</si>
  <si>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간판이 잘 보이는 사진</t>
  </si>
  <si>
    <r>
      <rPr>
        <b val="true"/>
        <sz val="10"/>
        <color rgb="FF1F3864"/>
        <rFont val="Noto Sans CJK SC"/>
        <family val="2"/>
      </rPr>
      <t xml:space="preserve">② 예약 메인 이미지  </t>
    </r>
    <r>
      <rPr>
        <b val="true"/>
        <sz val="10"/>
        <color rgb="FF1F3864"/>
        <rFont val="맑은 고딕"/>
        <family val="0"/>
        <charset val="1"/>
      </rPr>
      <t xml:space="preserve">·  </t>
    </r>
    <r>
      <rPr>
        <b val="true"/>
        <sz val="10"/>
        <color rgb="FF1F3864"/>
        <rFont val="Noto Sans CJK SC"/>
        <family val="2"/>
      </rPr>
      <t xml:space="preserve">네이버 예약 메인 화면 노출  </t>
    </r>
    <r>
      <rPr>
        <b val="true"/>
        <sz val="10"/>
        <color rgb="FF1F3864"/>
        <rFont val="맑은 고딕"/>
        <family val="0"/>
        <charset val="1"/>
      </rPr>
      <t xml:space="preserve">·  1</t>
    </r>
    <r>
      <rPr>
        <b val="true"/>
        <sz val="10"/>
        <color rgb="FF1F3864"/>
        <rFont val="Noto Sans CJK SC"/>
        <family val="2"/>
      </rPr>
      <t xml:space="preserve">장 </t>
    </r>
    <r>
      <rPr>
        <b val="true"/>
        <sz val="10"/>
        <color rgb="FF1F3864"/>
        <rFont val="맑은 고딕"/>
        <family val="0"/>
        <charset val="1"/>
      </rPr>
      <t xml:space="preserve">· 20MB</t>
    </r>
  </si>
  <si>
    <t xml:space="preserve">예약 메인</t>
  </si>
  <si>
    <t xml:space="preserve">—</t>
  </si>
  <si>
    <r>
      <rPr>
        <i val="true"/>
        <sz val="10"/>
        <color rgb="FF808080"/>
        <rFont val="Noto Sans CJK SC"/>
        <family val="2"/>
      </rPr>
      <t xml:space="preserve">예약메인</t>
    </r>
    <r>
      <rPr>
        <i val="true"/>
        <sz val="10"/>
        <color rgb="FF808080"/>
        <rFont val="맑은 고딕"/>
        <family val="0"/>
        <charset val="1"/>
      </rPr>
      <t xml:space="preserve">_01.jpg</t>
    </r>
  </si>
  <si>
    <t xml:space="preserve">가로형 권장</t>
  </si>
  <si>
    <r>
      <rPr>
        <b val="true"/>
        <sz val="10"/>
        <color rgb="FF1F3864"/>
        <rFont val="Noto Sans CJK SC"/>
        <family val="2"/>
      </rPr>
      <t xml:space="preserve">③ 예약 상품 이미지  </t>
    </r>
    <r>
      <rPr>
        <b val="true"/>
        <sz val="10"/>
        <color rgb="FF1F3864"/>
        <rFont val="맑은 고딕"/>
        <family val="0"/>
        <charset val="1"/>
      </rPr>
      <t xml:space="preserve">·  </t>
    </r>
    <r>
      <rPr>
        <b val="true"/>
        <sz val="10"/>
        <color rgb="FF1F3864"/>
        <rFont val="Noto Sans CJK SC"/>
        <family val="2"/>
      </rPr>
      <t xml:space="preserve">예약 상품별 노출  </t>
    </r>
    <r>
      <rPr>
        <b val="true"/>
        <sz val="10"/>
        <color rgb="FF1F3864"/>
        <rFont val="맑은 고딕"/>
        <family val="0"/>
        <charset val="1"/>
      </rPr>
      <t xml:space="preserve">·  </t>
    </r>
    <r>
      <rPr>
        <b val="true"/>
        <sz val="10"/>
        <color rgb="FF1F3864"/>
        <rFont val="Noto Sans CJK SC"/>
        <family val="2"/>
      </rPr>
      <t xml:space="preserve">상품당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장 </t>
    </r>
    <r>
      <rPr>
        <b val="true"/>
        <sz val="10"/>
        <color rgb="FF1F3864"/>
        <rFont val="맑은 고딕"/>
        <family val="0"/>
        <charset val="1"/>
      </rPr>
      <t xml:space="preserve">· 20MB</t>
    </r>
  </si>
  <si>
    <t xml:space="preserve">예약 상품</t>
  </si>
  <si>
    <t xml:space="preserve">첫방문 등관리 체험</t>
  </si>
  <si>
    <r>
      <rPr>
        <i val="true"/>
        <sz val="10"/>
        <color rgb="FF808080"/>
        <rFont val="Noto Sans CJK SC"/>
        <family val="2"/>
      </rPr>
      <t xml:space="preserve">상품</t>
    </r>
    <r>
      <rPr>
        <i val="true"/>
        <sz val="10"/>
        <color rgb="FF808080"/>
        <rFont val="맑은 고딕"/>
        <family val="0"/>
        <charset val="1"/>
      </rPr>
      <t xml:space="preserve">_</t>
    </r>
    <r>
      <rPr>
        <i val="true"/>
        <sz val="10"/>
        <color rgb="FF808080"/>
        <rFont val="Noto Sans CJK SC"/>
        <family val="2"/>
      </rPr>
      <t xml:space="preserve">등관리체험</t>
    </r>
    <r>
      <rPr>
        <i val="true"/>
        <sz val="10"/>
        <color rgb="FF808080"/>
        <rFont val="맑은 고딕"/>
        <family val="0"/>
        <charset val="1"/>
      </rPr>
      <t xml:space="preserve">.jpg</t>
    </r>
  </si>
  <si>
    <r>
      <rPr>
        <i val="true"/>
        <sz val="10"/>
        <color rgb="FF808080"/>
        <rFont val="맑은 고딕"/>
        <family val="0"/>
        <charset val="1"/>
      </rPr>
      <t xml:space="preserve">06_</t>
    </r>
    <r>
      <rPr>
        <i val="true"/>
        <sz val="10"/>
        <color rgb="FF808080"/>
        <rFont val="Noto Sans CJK SC"/>
        <family val="2"/>
      </rPr>
      <t xml:space="preserve">예약상품의 예약상품명과 똑같이 적어주세요</t>
    </r>
  </si>
  <si>
    <r>
      <rPr>
        <b val="true"/>
        <sz val="14"/>
        <color rgb="FF1F3864"/>
        <rFont val="맑은 고딕"/>
        <family val="0"/>
        <charset val="1"/>
      </rPr>
      <t xml:space="preserve">10. </t>
    </r>
    <r>
      <rPr>
        <b val="true"/>
        <sz val="14"/>
        <color rgb="FF1F3864"/>
        <rFont val="Noto Sans CJK SC"/>
        <family val="2"/>
      </rPr>
      <t xml:space="preserve">변경 이력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Noto Sans CJK SC"/>
        <family val="2"/>
      </rPr>
      <t xml:space="preserve">버전 관리</t>
    </r>
  </si>
  <si>
    <r>
      <rPr>
        <sz val="9"/>
        <color rgb="FF7F7F7F"/>
        <rFont val="Noto Sans CJK SC"/>
        <family val="2"/>
      </rPr>
      <t xml:space="preserve">이 탭은 시스템이 자동으로 기록합니다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사장님은 입력하지 않으셔도 됩니다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담당자는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담당자 확인</t>
    </r>
    <r>
      <rPr>
        <sz val="9"/>
        <color rgb="FF7F7F7F"/>
        <rFont val="맑은 고딕"/>
        <family val="0"/>
        <charset val="1"/>
      </rPr>
      <t xml:space="preserve">' </t>
    </r>
    <r>
      <rPr>
        <sz val="9"/>
        <color rgb="FF7F7F7F"/>
        <rFont val="Noto Sans CJK SC"/>
        <family val="2"/>
      </rPr>
      <t xml:space="preserve">열과 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비고</t>
    </r>
    <r>
      <rPr>
        <sz val="9"/>
        <color rgb="FF7F7F7F"/>
        <rFont val="맑은 고딕"/>
        <family val="0"/>
        <charset val="1"/>
      </rPr>
      <t xml:space="preserve">'</t>
    </r>
    <r>
      <rPr>
        <sz val="9"/>
        <color rgb="FF7F7F7F"/>
        <rFont val="Noto Sans CJK SC"/>
        <family val="2"/>
      </rPr>
      <t xml:space="preserve">만 사용하세요</t>
    </r>
    <r>
      <rPr>
        <sz val="9"/>
        <color rgb="FF7F7F7F"/>
        <rFont val="맑은 고딕"/>
        <family val="0"/>
        <charset val="1"/>
      </rPr>
      <t xml:space="preserve">. ★ </t>
    </r>
    <r>
      <rPr>
        <sz val="9"/>
        <color rgb="FF7F7F7F"/>
        <rFont val="Noto Sans CJK SC"/>
        <family val="2"/>
      </rPr>
      <t xml:space="preserve">복원은 이전 버전을 덮어쓰지 않고 새 버전으로 만듭니다</t>
    </r>
    <r>
      <rPr>
        <sz val="9"/>
        <color rgb="FF7F7F7F"/>
        <rFont val="맑은 고딕"/>
        <family val="0"/>
        <charset val="1"/>
      </rPr>
      <t xml:space="preserve">. </t>
    </r>
    <r>
      <rPr>
        <sz val="9"/>
        <color rgb="FF7F7F7F"/>
        <rFont val="Noto Sans CJK SC"/>
        <family val="2"/>
      </rPr>
      <t xml:space="preserve">이력은 절대 지워지지 않습니다</t>
    </r>
    <r>
      <rPr>
        <sz val="9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</si>
  <si>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버전 목록 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복원 지점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</si>
  <si>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버전</t>
  </si>
  <si>
    <t xml:space="preserve">제출 일시</t>
  </si>
  <si>
    <t xml:space="preserve">완성도</t>
  </si>
  <si>
    <t xml:space="preserve">변경 건수</t>
  </si>
  <si>
    <r>
      <rPr>
        <b val="true"/>
        <sz val="10"/>
        <color rgb="FFFFFFFF"/>
        <rFont val="Noto Sans CJK SC"/>
        <family val="2"/>
      </rPr>
      <t xml:space="preserve">스냅샷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</si>
  <si>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복원 여부</t>
  </si>
  <si>
    <t xml:space="preserve">2026-08-13 14:22</t>
  </si>
  <si>
    <t xml:space="preserve">접수</t>
  </si>
  <si>
    <t xml:space="preserve">snap_a1b2c3</t>
  </si>
  <si>
    <t xml:space="preserve">최초 제출</t>
  </si>
  <si>
    <t xml:space="preserve">김담당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</si>
  <si>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</si>
  <si>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</si>
  <si>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</si>
  <si>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</si>
  <si>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</si>
  <si>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</si>
  <si>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</si>
  <si>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</si>
  <si>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</si>
  <si>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</si>
  <si>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</si>
  <si>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</si>
  <si>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</si>
  <si>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</si>
  <si>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</si>
  <si>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변경 상세</t>
  </si>
  <si>
    <t xml:space="preserve">일시</t>
  </si>
  <si>
    <t xml:space="preserve">탭</t>
  </si>
  <si>
    <t xml:space="preserve">이전 값</t>
  </si>
  <si>
    <t xml:space="preserve">새 값</t>
  </si>
  <si>
    <t xml:space="preserve">변경 주체</t>
  </si>
  <si>
    <t xml:space="preserve">담당자 확인</t>
  </si>
  <si>
    <t xml:space="preserve">2026-08-15 09:10</t>
  </si>
  <si>
    <r>
      <rPr>
        <i val="true"/>
        <sz val="10"/>
        <color rgb="FF808080"/>
        <rFont val="맑은 고딕"/>
        <family val="0"/>
        <charset val="1"/>
      </rPr>
      <t xml:space="preserve">01_</t>
    </r>
    <r>
      <rPr>
        <i val="true"/>
        <sz val="10"/>
        <color rgb="FF808080"/>
        <rFont val="Noto Sans CJK SC"/>
        <family val="2"/>
      </rPr>
      <t xml:space="preserve">기본정보</t>
    </r>
  </si>
  <si>
    <t xml:space="preserve">02-1234-5678</t>
  </si>
  <si>
    <t xml:space="preserve">02-1234-9999</t>
  </si>
  <si>
    <t xml:space="preserve">사장님</t>
  </si>
  <si>
    <t xml:space="preserve">확인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</si>
</sst>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sz val="9"/>
      <color rgb="FF7F7F7F"/>
      <name val="Noto Sans CJK SC"/>
      <family val="2"/>
    </font>
    <font>
      <sz val="9"/>
      <color rgb="FF7F7F7F"/>
      <name val="맑은 고딕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404040"/>
      <name val="맑은 고딕"/>
      <family val="0"/>
      <charset val="1"/>
    </font>
    <font>
      <b val="true"/>
      <sz val="10"/>
      <color rgb="FF1F3864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C00000"/>
      <name val="Noto Sans CJK SC"/>
      <family val="2"/>
    </font>
    <font>
      <sz val="10"/>
      <color rgb="FF404040"/>
      <name val="Noto Sans CJK SC"/>
      <family val="2"/>
    </font>
    <font>
      <b val="true"/>
      <sz val="11"/>
      <color rgb="FF1F3864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10"/>
      <color rgb="FF000000"/>
      <name val="맑은 고딕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EA9DB"/>
        <bgColor rgb="FF99CCFF"/>
      </patternFill>
    </fill>
    <fill>
      <patternFill patternType="solid">
        <fgColor rgb="FFE2EFDA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19.5" hidden="false" customHeight="true" outlineLevel="0" collapsed="false">
      <c r="A8" s="6" t="s">
        <v>9</v>
      </c>
      <c r="B8" s="5" t="s">
        <v>10</v>
      </c>
      <c r="C8" s="5"/>
      <c r="D8" s="5"/>
      <c r="E8" s="5"/>
      <c r="F8" s="5"/>
    </row>
    <row r="9" customFormat="false" ht="19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19.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15" hidden="false" customHeight="true" outlineLevel="0" collapsed="false">
      <c r="A12" s="3" t="s">
        <v>15</v>
      </c>
      <c r="B12" s="3"/>
      <c r="C12" s="3"/>
      <c r="D12" s="3"/>
      <c r="E12" s="3"/>
      <c r="F12" s="3"/>
    </row>
    <row r="13" customFormat="false" ht="19.5" hidden="false" customHeight="true" outlineLevel="0" collapsed="false">
      <c r="A13" s="7" t="s">
        <v>16</v>
      </c>
      <c r="B13" s="8" t="str">
        <f aca="false">IF('01_기본정보'!D5="","",'01_기본정보'!D5)</f>
        <v/>
      </c>
      <c r="C13" s="8"/>
      <c r="D13" s="8"/>
      <c r="E13" s="9" t="s">
        <v>17</v>
      </c>
      <c r="F13" s="10" t="s">
        <v>18</v>
      </c>
    </row>
    <row r="14" customFormat="false" ht="19.5" hidden="false" customHeight="true" outlineLevel="0" collapsed="false">
      <c r="A14" s="7" t="s">
        <v>19</v>
      </c>
      <c r="B14" s="8" t="str">
        <f aca="false">IF('01_기본정보'!D28="","",'01_기본정보'!D28)</f>
        <v/>
      </c>
      <c r="C14" s="8"/>
      <c r="D14" s="8"/>
      <c r="E14" s="9" t="s">
        <v>17</v>
      </c>
      <c r="F14" s="10" t="s">
        <v>18</v>
      </c>
    </row>
    <row r="15" customFormat="false" ht="19.5" hidden="false" customHeight="true" outlineLevel="0" collapsed="false">
      <c r="A15" s="7" t="s">
        <v>20</v>
      </c>
      <c r="B15" s="8" t="str">
        <f aca="false">IF('01_기본정보'!D13="","",RIGHT('01_기본정보'!D13,4))</f>
        <v/>
      </c>
      <c r="C15" s="8"/>
      <c r="D15" s="8"/>
      <c r="E15" s="9" t="s">
        <v>17</v>
      </c>
      <c r="F15" s="10" t="s">
        <v>21</v>
      </c>
    </row>
    <row r="16" customFormat="false" ht="19.5" hidden="false" customHeight="true" outlineLevel="0" collapsed="false">
      <c r="A16" s="7" t="s">
        <v>22</v>
      </c>
      <c r="B16" s="11" t="str">
        <f aca="false">IF(OR(B13="",B14="",B15=""),"",B13&amp;"_"&amp;B14&amp;"_"&amp;B15)</f>
        <v/>
      </c>
      <c r="C16" s="11"/>
      <c r="D16" s="11"/>
      <c r="E16" s="9" t="s">
        <v>17</v>
      </c>
      <c r="F16" s="10" t="s">
        <v>23</v>
      </c>
    </row>
    <row r="17" customFormat="false" ht="19.5" hidden="false" customHeight="true" outlineLevel="0" collapsed="false">
      <c r="A17" s="7" t="s">
        <v>24</v>
      </c>
      <c r="B17" s="12"/>
      <c r="C17" s="12"/>
      <c r="D17" s="12"/>
      <c r="E17" s="9"/>
      <c r="F17" s="10" t="s">
        <v>25</v>
      </c>
    </row>
    <row r="18" customFormat="false" ht="19.5" hidden="false" customHeight="true" outlineLevel="0" collapsed="false">
      <c r="A18" s="7" t="s">
        <v>26</v>
      </c>
      <c r="B18" s="12"/>
      <c r="C18" s="12"/>
      <c r="D18" s="12"/>
      <c r="E18" s="9"/>
      <c r="F18" s="10" t="s">
        <v>25</v>
      </c>
    </row>
    <row r="19" customFormat="false" ht="19.5" hidden="false" customHeight="true" outlineLevel="0" collapsed="false">
      <c r="A19" s="7" t="s">
        <v>27</v>
      </c>
      <c r="B19" s="12"/>
      <c r="C19" s="12"/>
      <c r="D19" s="12"/>
      <c r="E19" s="9"/>
      <c r="F19" s="13" t="s">
        <v>28</v>
      </c>
    </row>
    <row r="20" customFormat="false" ht="19.5" hidden="false" customHeight="true" outlineLevel="0" collapsed="false">
      <c r="A20" s="7" t="s">
        <v>29</v>
      </c>
      <c r="B20" s="12"/>
      <c r="C20" s="12"/>
      <c r="D20" s="12"/>
      <c r="E20" s="9"/>
      <c r="F20" s="10" t="s">
        <v>30</v>
      </c>
    </row>
    <row r="21" customFormat="false" ht="19.5" hidden="false" customHeight="true" outlineLevel="0" collapsed="false">
      <c r="A21" s="7" t="s">
        <v>31</v>
      </c>
      <c r="B21" s="12"/>
      <c r="C21" s="12"/>
      <c r="D21" s="12"/>
      <c r="E21" s="9"/>
      <c r="F21" s="10"/>
    </row>
    <row r="22" customFormat="false" ht="19.5" hidden="false" customHeight="true" outlineLevel="0" collapsed="false">
      <c r="A22" s="7" t="s">
        <v>32</v>
      </c>
      <c r="B22" s="12"/>
      <c r="C22" s="12"/>
      <c r="D22" s="12"/>
      <c r="E22" s="9"/>
      <c r="F22" s="10" t="s">
        <v>33</v>
      </c>
    </row>
    <row r="24" customFormat="false" ht="15" hidden="false" customHeight="true" outlineLevel="0" collapsed="false">
      <c r="A24" s="3" t="s">
        <v>34</v>
      </c>
      <c r="B24" s="3"/>
      <c r="C24" s="3"/>
      <c r="D24" s="3"/>
      <c r="E24" s="3"/>
      <c r="F24" s="3"/>
    </row>
    <row r="25" customFormat="false" ht="25.5" hidden="false" customHeight="true" outlineLevel="0" collapsed="false">
      <c r="A25" s="14" t="s">
        <v>35</v>
      </c>
      <c r="B25" s="14" t="s">
        <v>36</v>
      </c>
      <c r="C25" s="14" t="s">
        <v>37</v>
      </c>
      <c r="D25" s="14" t="s">
        <v>38</v>
      </c>
      <c r="E25" s="14" t="s">
        <v>39</v>
      </c>
      <c r="F25" s="14" t="s">
        <v>40</v>
      </c>
    </row>
    <row r="26" customFormat="false" ht="19.5" hidden="false" customHeight="true" outlineLevel="0" collapsed="false">
      <c r="A26" s="15" t="s">
        <v>41</v>
      </c>
      <c r="B26" s="15" t="s">
        <v>42</v>
      </c>
      <c r="C26" s="16" t="s">
        <v>43</v>
      </c>
      <c r="D26" s="17" t="n">
        <f aca="false">COUNTA('01_기본정보'!D4:D29)</f>
        <v>0</v>
      </c>
      <c r="E26" s="17" t="str">
        <f aca="false">IF(D26=0,"미작성","작성됨")</f>
        <v>미작성</v>
      </c>
      <c r="F26" s="10" t="s">
        <v>44</v>
      </c>
    </row>
    <row r="27" customFormat="false" ht="19.5" hidden="false" customHeight="true" outlineLevel="0" collapsed="false">
      <c r="A27" s="15" t="s">
        <v>45</v>
      </c>
      <c r="B27" s="15" t="s">
        <v>46</v>
      </c>
      <c r="C27" s="18" t="s">
        <v>47</v>
      </c>
      <c r="D27" s="17" t="n">
        <f aca="false">COUNTA('02_부가정보'!D4:D38)</f>
        <v>0</v>
      </c>
      <c r="E27" s="17" t="str">
        <f aca="false">IF(D27=0,"미작성","작성됨")</f>
        <v>미작성</v>
      </c>
      <c r="F27" s="10" t="s">
        <v>48</v>
      </c>
    </row>
    <row r="28" customFormat="false" ht="19.5" hidden="false" customHeight="true" outlineLevel="0" collapsed="false">
      <c r="A28" s="15" t="s">
        <v>49</v>
      </c>
      <c r="B28" s="15" t="s">
        <v>50</v>
      </c>
      <c r="C28" s="16" t="s">
        <v>43</v>
      </c>
      <c r="D28" s="17" t="n">
        <f aca="false">COUNTA('03_영업시간'!C5:C12)</f>
        <v>0</v>
      </c>
      <c r="E28" s="17" t="str">
        <f aca="false">IF(D28=0,"미작성","작성됨")</f>
        <v>미작성</v>
      </c>
      <c r="F28" s="10" t="s">
        <v>51</v>
      </c>
    </row>
    <row r="29" customFormat="false" ht="19.5" hidden="false" customHeight="true" outlineLevel="0" collapsed="false">
      <c r="A29" s="15" t="s">
        <v>52</v>
      </c>
      <c r="B29" s="15" t="s">
        <v>53</v>
      </c>
      <c r="C29" s="16" t="s">
        <v>43</v>
      </c>
      <c r="D29" s="17" t="n">
        <f aca="false">COUNTA('04_시술마스터'!C5:C44)</f>
        <v>0</v>
      </c>
      <c r="E29" s="17" t="str">
        <f aca="false">IF(D29=0,"미작성","작성됨")</f>
        <v>미작성</v>
      </c>
      <c r="F29" s="10" t="s">
        <v>54</v>
      </c>
    </row>
    <row r="30" customFormat="false" ht="19.5" hidden="false" customHeight="true" outlineLevel="0" collapsed="false">
      <c r="A30" s="15" t="s">
        <v>55</v>
      </c>
      <c r="B30" s="15" t="s">
        <v>56</v>
      </c>
      <c r="C30" s="18" t="s">
        <v>57</v>
      </c>
      <c r="D30" s="17" t="n">
        <f aca="false">COUNTA('05_패키지'!B5:B24)</f>
        <v>0</v>
      </c>
      <c r="E30" s="17" t="str">
        <f aca="false">IF(D30=0,"미작성","작성됨")</f>
        <v>미작성</v>
      </c>
      <c r="F30" s="10" t="s">
        <v>58</v>
      </c>
    </row>
    <row r="31" customFormat="false" ht="19.5" hidden="false" customHeight="true" outlineLevel="0" collapsed="false">
      <c r="A31" s="15" t="s">
        <v>59</v>
      </c>
      <c r="B31" s="15" t="s">
        <v>60</v>
      </c>
      <c r="C31" s="18" t="s">
        <v>47</v>
      </c>
      <c r="D31" s="17" t="n">
        <f aca="false">COUNTA('06_예약상품'!B5:B44)</f>
        <v>0</v>
      </c>
      <c r="E31" s="17" t="str">
        <f aca="false">IF(D31=0,"미작성","작성됨")</f>
        <v>미작성</v>
      </c>
      <c r="F31" s="10" t="s">
        <v>61</v>
      </c>
    </row>
    <row r="32" customFormat="false" ht="19.5" hidden="false" customHeight="true" outlineLevel="0" collapsed="false">
      <c r="A32" s="15" t="s">
        <v>62</v>
      </c>
      <c r="B32" s="15" t="s">
        <v>63</v>
      </c>
      <c r="C32" s="18" t="s">
        <v>47</v>
      </c>
      <c r="D32" s="17" t="n">
        <f aca="false">COUNTA('07_예약설정'!D4:D48)</f>
        <v>3</v>
      </c>
      <c r="E32" s="17" t="str">
        <f aca="false">IF(D32=0,"미작성","작성됨")</f>
        <v>작성됨</v>
      </c>
      <c r="F32" s="10" t="s">
        <v>64</v>
      </c>
    </row>
    <row r="33" customFormat="false" ht="19.5" hidden="false" customHeight="true" outlineLevel="0" collapsed="false">
      <c r="A33" s="15" t="s">
        <v>65</v>
      </c>
      <c r="B33" s="15" t="s">
        <v>66</v>
      </c>
      <c r="C33" s="18" t="s">
        <v>57</v>
      </c>
      <c r="D33" s="17" t="n">
        <f aca="false">COUNTA('08_스마트콜'!D4:D28)</f>
        <v>18</v>
      </c>
      <c r="E33" s="17" t="str">
        <f aca="false">IF(D33=0,"미작성","작성됨")</f>
        <v>작성됨</v>
      </c>
      <c r="F33" s="13" t="s">
        <v>67</v>
      </c>
    </row>
    <row r="34" customFormat="false" ht="19.5" hidden="false" customHeight="true" outlineLevel="0" collapsed="false">
      <c r="A34" s="15" t="s">
        <v>68</v>
      </c>
      <c r="B34" s="15" t="s">
        <v>69</v>
      </c>
      <c r="C34" s="16" t="s">
        <v>43</v>
      </c>
      <c r="D34" s="17" t="n">
        <f aca="false">COUNTA('09_이미지'!D6:D125)+COUNTA('09_이미지'!D130)+COUNTA('09_이미지'!D135:D174)</f>
        <v>0</v>
      </c>
      <c r="E34" s="17" t="str">
        <f aca="false">IF(D34=0,"미작성","작성됨")</f>
        <v>미작성</v>
      </c>
      <c r="F34" s="10" t="s">
        <v>70</v>
      </c>
    </row>
    <row r="35" customFormat="false" ht="24" hidden="false" customHeight="true" outlineLevel="0" collapsed="false">
      <c r="A35" s="19" t="s">
        <v>71</v>
      </c>
      <c r="B35" s="19"/>
      <c r="C35" s="19"/>
      <c r="D35" s="20" t="n">
        <f aca="false">COUNTIF(E26:E34,"작성됨")/9</f>
        <v>0.222222222222222</v>
      </c>
      <c r="E35" s="21" t="str">
        <f aca="false">IF(COUNTIFS(C26:C34,"필수",E26:E34,"작성됨")=COUNTIF(C26:C34,"필수"),"제출 가능","필수 항목 미완료")</f>
        <v>필수 항목 미완료</v>
      </c>
      <c r="F35" s="22" t="s">
        <v>72</v>
      </c>
    </row>
  </sheetData>
  <mergeCells count="22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A12:F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A24:F24"/>
    <mergeCell ref="A35:C35"/>
  </mergeCells>
  <dataValidations count="1">
    <dataValidation allowBlank="true" errorStyle="stop" operator="between" showDropDown="false" showErrorMessage="false" showInputMessage="false" sqref="B20" type="list">
      <formula1>"접수,작업중,완료,변경요청"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24" hidden="false" customHeight="true" outlineLevel="0" collapsed="false">
      <c r="A1" s="23" t="s">
        <v>73</v>
      </c>
      <c r="B1" s="23"/>
      <c r="C1" s="23"/>
      <c r="D1" s="23"/>
      <c r="E1" s="23"/>
      <c r="F1" s="23"/>
    </row>
    <row r="2" customFormat="false" ht="30" hidden="false" customHeight="true" outlineLevel="0" collapsed="false">
      <c r="A2" s="2" t="s">
        <v>74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14" t="s">
        <v>75</v>
      </c>
      <c r="B3" s="14" t="s">
        <v>76</v>
      </c>
      <c r="C3" s="14" t="s">
        <v>43</v>
      </c>
      <c r="D3" s="14" t="s">
        <v>77</v>
      </c>
      <c r="E3" s="14" t="s">
        <v>78</v>
      </c>
      <c r="F3" s="14" t="s">
        <v>79</v>
      </c>
    </row>
    <row r="4" customFormat="false" ht="15" hidden="false" customHeight="true" outlineLevel="0" collapsed="false">
      <c r="A4" s="3" t="s">
        <v>80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7" t="s">
        <v>80</v>
      </c>
      <c r="B5" s="7" t="s">
        <v>81</v>
      </c>
      <c r="C5" s="16" t="s">
        <v>43</v>
      </c>
      <c r="D5" s="12"/>
      <c r="E5" s="24"/>
      <c r="F5" s="10" t="s">
        <v>82</v>
      </c>
    </row>
    <row r="6" customFormat="false" ht="21.75" hidden="false" customHeight="true" outlineLevel="0" collapsed="false">
      <c r="A6" s="7" t="s">
        <v>80</v>
      </c>
      <c r="B6" s="7" t="s">
        <v>83</v>
      </c>
      <c r="C6" s="25"/>
      <c r="D6" s="12"/>
      <c r="E6" s="24"/>
      <c r="F6" s="10" t="s">
        <v>84</v>
      </c>
    </row>
    <row r="7" customFormat="false" ht="15" hidden="false" customHeight="true" outlineLevel="0" collapsed="false">
      <c r="A7" s="3" t="s">
        <v>85</v>
      </c>
      <c r="B7" s="3"/>
      <c r="C7" s="3"/>
      <c r="D7" s="3"/>
      <c r="E7" s="3"/>
      <c r="F7" s="3"/>
    </row>
    <row r="8" customFormat="false" ht="21.75" hidden="false" customHeight="true" outlineLevel="0" collapsed="false">
      <c r="A8" s="7" t="s">
        <v>85</v>
      </c>
      <c r="B8" s="7" t="s">
        <v>86</v>
      </c>
      <c r="C8" s="16" t="s">
        <v>43</v>
      </c>
      <c r="D8" s="12"/>
      <c r="E8" s="24"/>
      <c r="F8" s="10" t="s">
        <v>87</v>
      </c>
    </row>
    <row r="9" customFormat="false" ht="21.75" hidden="false" customHeight="true" outlineLevel="0" collapsed="false">
      <c r="A9" s="7" t="s">
        <v>85</v>
      </c>
      <c r="B9" s="7" t="s">
        <v>88</v>
      </c>
      <c r="C9" s="16" t="s">
        <v>43</v>
      </c>
      <c r="D9" s="12"/>
      <c r="E9" s="24"/>
      <c r="F9" s="10" t="s">
        <v>89</v>
      </c>
    </row>
    <row r="10" customFormat="false" ht="21.75" hidden="false" customHeight="true" outlineLevel="0" collapsed="false">
      <c r="A10" s="7" t="s">
        <v>85</v>
      </c>
      <c r="B10" s="7" t="s">
        <v>90</v>
      </c>
      <c r="C10" s="25"/>
      <c r="D10" s="12"/>
      <c r="E10" s="24"/>
      <c r="F10" s="10" t="s">
        <v>91</v>
      </c>
    </row>
    <row r="11" customFormat="false" ht="15" hidden="false" customHeight="true" outlineLevel="0" collapsed="false">
      <c r="A11" s="3" t="s">
        <v>92</v>
      </c>
      <c r="B11" s="3"/>
      <c r="C11" s="3"/>
      <c r="D11" s="3"/>
      <c r="E11" s="3"/>
      <c r="F11" s="3"/>
    </row>
    <row r="12" customFormat="false" ht="21.75" hidden="false" customHeight="true" outlineLevel="0" collapsed="false">
      <c r="A12" s="7" t="s">
        <v>92</v>
      </c>
      <c r="B12" s="7" t="s">
        <v>93</v>
      </c>
      <c r="C12" s="16" t="s">
        <v>43</v>
      </c>
      <c r="D12" s="12"/>
      <c r="E12" s="24"/>
      <c r="F12" s="10" t="s">
        <v>94</v>
      </c>
    </row>
    <row r="13" customFormat="false" ht="21.75" hidden="false" customHeight="true" outlineLevel="0" collapsed="false">
      <c r="A13" s="7" t="s">
        <v>92</v>
      </c>
      <c r="B13" s="7" t="s">
        <v>95</v>
      </c>
      <c r="C13" s="16" t="s">
        <v>43</v>
      </c>
      <c r="D13" s="12"/>
      <c r="E13" s="24"/>
      <c r="F13" s="10" t="s">
        <v>96</v>
      </c>
    </row>
    <row r="14" customFormat="false" ht="21.75" hidden="false" customHeight="true" outlineLevel="0" collapsed="false">
      <c r="A14" s="7" t="s">
        <v>92</v>
      </c>
      <c r="B14" s="7" t="s">
        <v>97</v>
      </c>
      <c r="C14" s="25"/>
      <c r="D14" s="12"/>
      <c r="E14" s="24"/>
      <c r="F14" s="10" t="s">
        <v>98</v>
      </c>
    </row>
    <row r="15" customFormat="false" ht="15" hidden="false" customHeight="true" outlineLevel="0" collapsed="false">
      <c r="A15" s="3" t="s">
        <v>99</v>
      </c>
      <c r="B15" s="3"/>
      <c r="C15" s="3"/>
      <c r="D15" s="3"/>
      <c r="E15" s="3"/>
      <c r="F15" s="3"/>
    </row>
    <row r="16" customFormat="false" ht="21.75" hidden="false" customHeight="true" outlineLevel="0" collapsed="false">
      <c r="A16" s="7" t="s">
        <v>99</v>
      </c>
      <c r="B16" s="7" t="s">
        <v>100</v>
      </c>
      <c r="C16" s="25"/>
      <c r="D16" s="12"/>
      <c r="E16" s="24"/>
      <c r="F16" s="10" t="s">
        <v>101</v>
      </c>
    </row>
    <row r="17" customFormat="false" ht="21.75" hidden="false" customHeight="true" outlineLevel="0" collapsed="false">
      <c r="A17" s="7" t="s">
        <v>99</v>
      </c>
      <c r="B17" s="7" t="s">
        <v>102</v>
      </c>
      <c r="C17" s="25"/>
      <c r="D17" s="12"/>
      <c r="E17" s="24"/>
      <c r="F17" s="10" t="s">
        <v>103</v>
      </c>
    </row>
    <row r="18" customFormat="false" ht="21.75" hidden="false" customHeight="true" outlineLevel="0" collapsed="false">
      <c r="A18" s="7" t="s">
        <v>99</v>
      </c>
      <c r="B18" s="7" t="s">
        <v>104</v>
      </c>
      <c r="C18" s="25"/>
      <c r="D18" s="12"/>
      <c r="E18" s="24"/>
      <c r="F18" s="13" t="s">
        <v>105</v>
      </c>
    </row>
    <row r="19" customFormat="false" ht="21.75" hidden="false" customHeight="true" outlineLevel="0" collapsed="false">
      <c r="A19" s="7" t="s">
        <v>99</v>
      </c>
      <c r="B19" s="7" t="s">
        <v>106</v>
      </c>
      <c r="C19" s="25"/>
      <c r="D19" s="12"/>
      <c r="E19" s="24"/>
      <c r="F19" s="10" t="s">
        <v>107</v>
      </c>
    </row>
    <row r="20" customFormat="false" ht="15" hidden="false" customHeight="true" outlineLevel="0" collapsed="false">
      <c r="A20" s="3" t="s">
        <v>108</v>
      </c>
      <c r="B20" s="3"/>
      <c r="C20" s="3"/>
      <c r="D20" s="3"/>
      <c r="E20" s="3"/>
      <c r="F20" s="3"/>
    </row>
    <row r="21" customFormat="false" ht="109.5" hidden="false" customHeight="true" outlineLevel="0" collapsed="false">
      <c r="A21" s="7" t="s">
        <v>109</v>
      </c>
      <c r="B21" s="7" t="s">
        <v>110</v>
      </c>
      <c r="C21" s="25"/>
      <c r="D21" s="26"/>
      <c r="E21" s="24"/>
      <c r="F21" s="27" t="str">
        <f aca="false">IF(D21="","2000자 이내. 시술 특징·차별점·이용 안내를 담아주세요.  예) 1:1 맞춤 케어로 피부 본연의 힘을 되찾아 드립니다. 10년 경력 원장이 직접 상담 후...","입력 "&amp;LEN(D21)&amp;" / 2000자"&amp;IF(LEN(D21)&gt;2000,"  ⚠ 글자 수 초과",""))</f>
        <v>2000자 이내. 시술 특징·차별점·이용 안내를 담아주세요.  예) 1:1 맞춤 케어로 피부 본연의 힘을 되찾아 드립니다. 10년 경력 원장이 직접 상담 후...</v>
      </c>
    </row>
    <row r="22" customFormat="false" ht="21.75" hidden="false" customHeight="true" outlineLevel="0" collapsed="false">
      <c r="A22" s="7" t="s">
        <v>109</v>
      </c>
      <c r="B22" s="7" t="s">
        <v>111</v>
      </c>
      <c r="C22" s="25"/>
      <c r="D22" s="12"/>
      <c r="E22" s="24"/>
      <c r="F22" s="10" t="str">
        <f aca="false">IF(D22="","15자 이내.  예) 강남피부관리","입력 "&amp;LEN(D22)&amp;" / 15자"&amp;IF(LEN(D22)&gt;15,"  ⚠ 글자 수 초과",""))</f>
        <v>15자 이내.  예) 강남피부관리</v>
      </c>
    </row>
    <row r="23" customFormat="false" ht="21.75" hidden="false" customHeight="true" outlineLevel="0" collapsed="false">
      <c r="A23" s="7" t="s">
        <v>109</v>
      </c>
      <c r="B23" s="7" t="s">
        <v>112</v>
      </c>
      <c r="C23" s="25"/>
      <c r="D23" s="12"/>
      <c r="E23" s="24"/>
      <c r="F23" s="10" t="str">
        <f aca="false">IF(D23="","15자 이내.  예) 등관리전문","입력 "&amp;LEN(D23)&amp;" / 15자"&amp;IF(LEN(D23)&gt;15,"  ⚠ 글자 수 초과",""))</f>
        <v>15자 이내.  예) 등관리전문</v>
      </c>
    </row>
    <row r="24" customFormat="false" ht="21.75" hidden="false" customHeight="true" outlineLevel="0" collapsed="false">
      <c r="A24" s="7" t="s">
        <v>109</v>
      </c>
      <c r="B24" s="7" t="s">
        <v>113</v>
      </c>
      <c r="C24" s="25"/>
      <c r="D24" s="12"/>
      <c r="E24" s="24"/>
      <c r="F24" s="10" t="str">
        <f aca="false">IF(D24="","15자 이내.  예) 여드름케어","입력 "&amp;LEN(D24)&amp;" / 15자"&amp;IF(LEN(D24)&gt;15,"  ⚠ 글자 수 초과",""))</f>
        <v>15자 이내.  예) 여드름케어</v>
      </c>
    </row>
    <row r="25" customFormat="false" ht="21.75" hidden="false" customHeight="true" outlineLevel="0" collapsed="false">
      <c r="A25" s="7" t="s">
        <v>109</v>
      </c>
      <c r="B25" s="7" t="s">
        <v>114</v>
      </c>
      <c r="C25" s="25"/>
      <c r="D25" s="12"/>
      <c r="E25" s="24"/>
      <c r="F25" s="10" t="str">
        <f aca="false">IF(D25="","15자 이내.  예) 왁싱","입력 "&amp;LEN(D25)&amp;" / 15자"&amp;IF(LEN(D25)&gt;15,"  ⚠ 글자 수 초과",""))</f>
        <v>15자 이내.  예) 왁싱</v>
      </c>
    </row>
    <row r="26" customFormat="false" ht="21.75" hidden="false" customHeight="true" outlineLevel="0" collapsed="false">
      <c r="A26" s="7" t="s">
        <v>109</v>
      </c>
      <c r="B26" s="7" t="s">
        <v>115</v>
      </c>
      <c r="C26" s="25"/>
      <c r="D26" s="12"/>
      <c r="E26" s="24"/>
      <c r="F26" s="10" t="str">
        <f aca="false">IF(D26="","15자 이내.  예) 커플관리","입력 "&amp;LEN(D26)&amp;" / 15자"&amp;IF(LEN(D26)&gt;15,"  ⚠ 글자 수 초과",""))</f>
        <v>15자 이내.  예) 커플관리</v>
      </c>
    </row>
    <row r="27" customFormat="false" ht="15" hidden="false" customHeight="true" outlineLevel="0" collapsed="false">
      <c r="A27" s="3" t="s">
        <v>116</v>
      </c>
      <c r="B27" s="3"/>
      <c r="C27" s="3"/>
      <c r="D27" s="3"/>
      <c r="E27" s="3"/>
      <c r="F27" s="3"/>
    </row>
    <row r="28" customFormat="false" ht="21.75" hidden="false" customHeight="true" outlineLevel="0" collapsed="false">
      <c r="A28" s="7" t="s">
        <v>116</v>
      </c>
      <c r="B28" s="7" t="s">
        <v>19</v>
      </c>
      <c r="C28" s="16" t="s">
        <v>43</v>
      </c>
      <c r="D28" s="12"/>
      <c r="E28" s="24"/>
      <c r="F28" s="10" t="s">
        <v>117</v>
      </c>
    </row>
    <row r="29" customFormat="false" ht="21.75" hidden="false" customHeight="true" outlineLevel="0" collapsed="false">
      <c r="A29" s="7" t="s">
        <v>116</v>
      </c>
      <c r="B29" s="7" t="s">
        <v>118</v>
      </c>
      <c r="C29" s="25"/>
      <c r="D29" s="12"/>
      <c r="E29" s="24"/>
      <c r="F29" s="13" t="s">
        <v>119</v>
      </c>
    </row>
  </sheetData>
  <mergeCells count="8">
    <mergeCell ref="A1:F1"/>
    <mergeCell ref="A2:F2"/>
    <mergeCell ref="A4:F4"/>
    <mergeCell ref="A7:F7"/>
    <mergeCell ref="A11:F11"/>
    <mergeCell ref="A15:F15"/>
    <mergeCell ref="A20:F20"/>
    <mergeCell ref="A27:F27"/>
  </mergeCells>
  <dataValidations count="3">
    <dataValidation allowBlank="true" errorStyle="stop" operator="between" showDropDown="false" showErrorMessage="false" showInputMessage="false" sqref="E5:E6 E8:E10 E12:E14 E16:E19 E21:E26 E28:E29" type="list">
      <formula1>"입력완료,미입력,상담필요"</formula1>
      <formula2>0</formula2>
    </dataValidation>
    <dataValidation allowBlank="true" error="업체 상세설명은 2000자 이내로 입력해 주세요." errorStyle="stop" errorTitle="글자 수 초과" operator="lessThanOrEqual" showDropDown="false" showErrorMessage="false" showInputMessage="false" sqref="D21" type="textLength">
      <formula1>2000</formula1>
      <formula2>0</formula2>
    </dataValidation>
    <dataValidation allowBlank="true" error="대표 키워드는 각 15자 이내로 입력해 주세요." errorStyle="stop" errorTitle="글자 수 초과" operator="lessThanOrEqual" showDropDown="false" showErrorMessage="false" showInputMessage="false" sqref="D22:D26" type="textLength">
      <formula1>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24" hidden="false" customHeight="true" outlineLevel="0" collapsed="false">
      <c r="A1" s="23" t="s">
        <v>120</v>
      </c>
      <c r="B1" s="23"/>
      <c r="C1" s="23"/>
      <c r="D1" s="23"/>
      <c r="E1" s="23"/>
      <c r="F1" s="23"/>
    </row>
    <row r="2" customFormat="false" ht="30" hidden="false" customHeight="true" outlineLevel="0" collapsed="false">
      <c r="A2" s="2" t="s">
        <v>121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14" t="s">
        <v>75</v>
      </c>
      <c r="B3" s="14" t="s">
        <v>76</v>
      </c>
      <c r="C3" s="14" t="s">
        <v>43</v>
      </c>
      <c r="D3" s="14" t="s">
        <v>77</v>
      </c>
      <c r="E3" s="14" t="s">
        <v>78</v>
      </c>
      <c r="F3" s="14" t="s">
        <v>79</v>
      </c>
    </row>
    <row r="4" customFormat="false" ht="15" hidden="false" customHeight="true" outlineLevel="0" collapsed="false">
      <c r="A4" s="3" t="s">
        <v>122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7" t="s">
        <v>122</v>
      </c>
      <c r="B5" s="7" t="s">
        <v>123</v>
      </c>
      <c r="C5" s="25"/>
      <c r="D5" s="12"/>
      <c r="E5" s="24"/>
      <c r="F5" s="10" t="s">
        <v>124</v>
      </c>
    </row>
    <row r="6" customFormat="false" ht="21.75" hidden="false" customHeight="true" outlineLevel="0" collapsed="false">
      <c r="A6" s="7" t="s">
        <v>122</v>
      </c>
      <c r="B6" s="7" t="s">
        <v>125</v>
      </c>
      <c r="C6" s="25"/>
      <c r="D6" s="12"/>
      <c r="E6" s="24"/>
      <c r="F6" s="10" t="s">
        <v>126</v>
      </c>
    </row>
    <row r="7" customFormat="false" ht="21.75" hidden="false" customHeight="true" outlineLevel="0" collapsed="false">
      <c r="A7" s="7" t="s">
        <v>122</v>
      </c>
      <c r="B7" s="7" t="s">
        <v>127</v>
      </c>
      <c r="C7" s="25"/>
      <c r="D7" s="12"/>
      <c r="E7" s="24"/>
      <c r="F7" s="10" t="s">
        <v>128</v>
      </c>
    </row>
    <row r="8" customFormat="false" ht="15" hidden="false" customHeight="true" outlineLevel="0" collapsed="false">
      <c r="A8" s="3" t="s">
        <v>129</v>
      </c>
      <c r="B8" s="3"/>
      <c r="C8" s="3"/>
      <c r="D8" s="3"/>
      <c r="E8" s="3"/>
      <c r="F8" s="3"/>
    </row>
    <row r="9" customFormat="false" ht="21.75" hidden="false" customHeight="true" outlineLevel="0" collapsed="false">
      <c r="A9" s="7" t="s">
        <v>129</v>
      </c>
      <c r="B9" s="7" t="s">
        <v>130</v>
      </c>
      <c r="C9" s="25"/>
      <c r="D9" s="12"/>
      <c r="E9" s="24"/>
      <c r="F9" s="10" t="s">
        <v>131</v>
      </c>
    </row>
    <row r="10" customFormat="false" ht="60" hidden="false" customHeight="true" outlineLevel="0" collapsed="false">
      <c r="A10" s="7" t="s">
        <v>129</v>
      </c>
      <c r="B10" s="7" t="s">
        <v>132</v>
      </c>
      <c r="C10" s="25"/>
      <c r="D10" s="26"/>
      <c r="E10" s="24"/>
      <c r="F10" s="27" t="str">
        <f aca="false">IF(D10="","400자 이내. 자체 주차장 이용 방법·무료 시간·주차 위치를 적어주세요.  예) 건물 지하 1~2층 이용, 2시간 무료. 입차 시 카운터에 차량번호를 알려주세요.","입력 "&amp;LEN(D10)&amp;" / 400자"&amp;IF(LEN(D10)&gt;400,"  ⚠ 글자 수 초과",""))</f>
        <v>400자 이내. 자체 주차장 이용 방법·무료 시간·주차 위치를 적어주세요.  예) 건물 지하 1~2층 이용, 2시간 무료. 입차 시 카운터에 차량번호를 알려주세요.</v>
      </c>
    </row>
    <row r="11" customFormat="false" ht="21.75" hidden="false" customHeight="true" outlineLevel="0" collapsed="false">
      <c r="A11" s="7" t="s">
        <v>129</v>
      </c>
      <c r="B11" s="7" t="s">
        <v>133</v>
      </c>
      <c r="C11" s="25"/>
      <c r="D11" s="12"/>
      <c r="E11" s="24"/>
      <c r="F11" s="10" t="s">
        <v>134</v>
      </c>
    </row>
    <row r="12" customFormat="false" ht="39.75" hidden="false" customHeight="true" outlineLevel="0" collapsed="false">
      <c r="A12" s="7" t="s">
        <v>129</v>
      </c>
      <c r="B12" s="7" t="s">
        <v>135</v>
      </c>
      <c r="C12" s="25"/>
      <c r="D12" s="26"/>
      <c r="E12" s="24"/>
      <c r="F12" s="10" t="s">
        <v>136</v>
      </c>
    </row>
    <row r="13" customFormat="false" ht="21.75" hidden="false" customHeight="true" outlineLevel="0" collapsed="false">
      <c r="A13" s="7" t="s">
        <v>129</v>
      </c>
      <c r="B13" s="7" t="s">
        <v>137</v>
      </c>
      <c r="C13" s="25"/>
      <c r="D13" s="12"/>
      <c r="E13" s="24"/>
      <c r="F13" s="10" t="s">
        <v>138</v>
      </c>
    </row>
    <row r="14" customFormat="false" ht="21.75" hidden="false" customHeight="true" outlineLevel="0" collapsed="false">
      <c r="A14" s="7" t="s">
        <v>129</v>
      </c>
      <c r="B14" s="7" t="s">
        <v>139</v>
      </c>
      <c r="C14" s="25"/>
      <c r="D14" s="12"/>
      <c r="E14" s="24"/>
      <c r="F14" s="10" t="s">
        <v>140</v>
      </c>
    </row>
    <row r="15" customFormat="false" ht="15" hidden="false" customHeight="true" outlineLevel="0" collapsed="false">
      <c r="A15" s="3" t="s">
        <v>141</v>
      </c>
      <c r="B15" s="3"/>
      <c r="C15" s="3"/>
      <c r="D15" s="3"/>
      <c r="E15" s="3"/>
      <c r="F15" s="3"/>
    </row>
    <row r="16" customFormat="false" ht="21.75" hidden="false" customHeight="true" outlineLevel="0" collapsed="false">
      <c r="A16" s="7" t="s">
        <v>141</v>
      </c>
      <c r="B16" s="7" t="s">
        <v>142</v>
      </c>
      <c r="C16" s="25"/>
      <c r="D16" s="12"/>
      <c r="E16" s="24"/>
      <c r="F16" s="13" t="s">
        <v>143</v>
      </c>
    </row>
    <row r="17" customFormat="false" ht="21.75" hidden="false" customHeight="true" outlineLevel="0" collapsed="false">
      <c r="A17" s="7" t="s">
        <v>141</v>
      </c>
      <c r="B17" s="7" t="s">
        <v>144</v>
      </c>
      <c r="C17" s="25"/>
      <c r="D17" s="12"/>
      <c r="E17" s="24"/>
      <c r="F17" s="13" t="s">
        <v>143</v>
      </c>
    </row>
    <row r="18" customFormat="false" ht="21.75" hidden="false" customHeight="true" outlineLevel="0" collapsed="false">
      <c r="A18" s="7" t="s">
        <v>141</v>
      </c>
      <c r="B18" s="7" t="s">
        <v>145</v>
      </c>
      <c r="C18" s="25"/>
      <c r="D18" s="12"/>
      <c r="E18" s="24"/>
      <c r="F18" s="13" t="s">
        <v>143</v>
      </c>
    </row>
    <row r="19" customFormat="false" ht="21.75" hidden="false" customHeight="true" outlineLevel="0" collapsed="false">
      <c r="A19" s="7" t="s">
        <v>141</v>
      </c>
      <c r="B19" s="7" t="s">
        <v>146</v>
      </c>
      <c r="C19" s="25"/>
      <c r="D19" s="12"/>
      <c r="E19" s="24"/>
      <c r="F19" s="13" t="s">
        <v>147</v>
      </c>
    </row>
    <row r="20" customFormat="false" ht="21.75" hidden="false" customHeight="true" outlineLevel="0" collapsed="false">
      <c r="A20" s="7" t="s">
        <v>141</v>
      </c>
      <c r="B20" s="7" t="s">
        <v>148</v>
      </c>
      <c r="C20" s="25"/>
      <c r="D20" s="12"/>
      <c r="E20" s="24"/>
      <c r="F20" s="13" t="s">
        <v>143</v>
      </c>
    </row>
    <row r="21" customFormat="false" ht="21.75" hidden="false" customHeight="true" outlineLevel="0" collapsed="false">
      <c r="A21" s="7" t="s">
        <v>141</v>
      </c>
      <c r="B21" s="7" t="s">
        <v>149</v>
      </c>
      <c r="C21" s="25"/>
      <c r="D21" s="12"/>
      <c r="E21" s="24"/>
      <c r="F21" s="13" t="s">
        <v>143</v>
      </c>
    </row>
    <row r="22" customFormat="false" ht="15" hidden="false" customHeight="true" outlineLevel="0" collapsed="false">
      <c r="A22" s="3" t="s">
        <v>150</v>
      </c>
      <c r="B22" s="3"/>
      <c r="C22" s="3"/>
      <c r="D22" s="3"/>
      <c r="E22" s="3"/>
      <c r="F22" s="3"/>
    </row>
    <row r="23" customFormat="false" ht="21.75" hidden="false" customHeight="true" outlineLevel="0" collapsed="false">
      <c r="A23" s="7" t="s">
        <v>150</v>
      </c>
      <c r="B23" s="7" t="s">
        <v>151</v>
      </c>
      <c r="C23" s="25"/>
      <c r="D23" s="12"/>
      <c r="E23" s="24"/>
      <c r="F23" s="10" t="s">
        <v>152</v>
      </c>
    </row>
    <row r="24" customFormat="false" ht="21.75" hidden="false" customHeight="true" outlineLevel="0" collapsed="false">
      <c r="A24" s="7" t="s">
        <v>150</v>
      </c>
      <c r="B24" s="7" t="s">
        <v>153</v>
      </c>
      <c r="C24" s="25"/>
      <c r="D24" s="12"/>
      <c r="E24" s="24"/>
      <c r="F24" s="10" t="s">
        <v>154</v>
      </c>
    </row>
    <row r="25" customFormat="false" ht="21.75" hidden="false" customHeight="true" outlineLevel="0" collapsed="false">
      <c r="A25" s="7" t="s">
        <v>150</v>
      </c>
      <c r="B25" s="7" t="s">
        <v>155</v>
      </c>
      <c r="C25" s="25"/>
      <c r="D25" s="12"/>
      <c r="E25" s="24"/>
      <c r="F25" s="10" t="s">
        <v>156</v>
      </c>
    </row>
    <row r="26" customFormat="false" ht="21.75" hidden="false" customHeight="true" outlineLevel="0" collapsed="false">
      <c r="A26" s="7" t="s">
        <v>150</v>
      </c>
      <c r="B26" s="7" t="s">
        <v>157</v>
      </c>
      <c r="C26" s="25"/>
      <c r="D26" s="12"/>
      <c r="E26" s="24"/>
      <c r="F26" s="10" t="s">
        <v>158</v>
      </c>
    </row>
    <row r="27" customFormat="false" ht="21.75" hidden="false" customHeight="true" outlineLevel="0" collapsed="false">
      <c r="A27" s="7" t="s">
        <v>150</v>
      </c>
      <c r="B27" s="7" t="s">
        <v>159</v>
      </c>
      <c r="C27" s="25"/>
      <c r="D27" s="12"/>
      <c r="E27" s="24"/>
      <c r="F27" s="10" t="s">
        <v>160</v>
      </c>
    </row>
    <row r="28" customFormat="false" ht="15" hidden="false" customHeight="true" outlineLevel="0" collapsed="false">
      <c r="A28" s="3" t="s">
        <v>161</v>
      </c>
      <c r="B28" s="3"/>
      <c r="C28" s="3"/>
      <c r="D28" s="3"/>
      <c r="E28" s="3"/>
      <c r="F28" s="3"/>
    </row>
    <row r="29" customFormat="false" ht="21.75" hidden="false" customHeight="true" outlineLevel="0" collapsed="false">
      <c r="A29" s="7" t="s">
        <v>161</v>
      </c>
      <c r="B29" s="7" t="s">
        <v>162</v>
      </c>
      <c r="C29" s="25"/>
      <c r="D29" s="12"/>
      <c r="E29" s="24"/>
      <c r="F29" s="13" t="s">
        <v>143</v>
      </c>
    </row>
    <row r="30" customFormat="false" ht="21.75" hidden="false" customHeight="true" outlineLevel="0" collapsed="false">
      <c r="A30" s="7" t="s">
        <v>161</v>
      </c>
      <c r="B30" s="7" t="s">
        <v>163</v>
      </c>
      <c r="C30" s="25"/>
      <c r="D30" s="12"/>
      <c r="E30" s="24"/>
      <c r="F30" s="13" t="s">
        <v>143</v>
      </c>
    </row>
    <row r="31" customFormat="false" ht="21.75" hidden="false" customHeight="true" outlineLevel="0" collapsed="false">
      <c r="A31" s="7" t="s">
        <v>161</v>
      </c>
      <c r="B31" s="7" t="s">
        <v>164</v>
      </c>
      <c r="C31" s="25"/>
      <c r="D31" s="12"/>
      <c r="E31" s="24"/>
      <c r="F31" s="10" t="s">
        <v>165</v>
      </c>
    </row>
    <row r="32" customFormat="false" ht="21.75" hidden="false" customHeight="true" outlineLevel="0" collapsed="false">
      <c r="A32" s="7" t="s">
        <v>161</v>
      </c>
      <c r="B32" s="7" t="s">
        <v>166</v>
      </c>
      <c r="C32" s="25"/>
      <c r="D32" s="12"/>
      <c r="E32" s="24"/>
      <c r="F32" s="10" t="s">
        <v>167</v>
      </c>
    </row>
    <row r="33" customFormat="false" ht="21.75" hidden="false" customHeight="true" outlineLevel="0" collapsed="false">
      <c r="A33" s="7" t="s">
        <v>161</v>
      </c>
      <c r="B33" s="7" t="s">
        <v>168</v>
      </c>
      <c r="C33" s="25"/>
      <c r="D33" s="12"/>
      <c r="E33" s="24"/>
      <c r="F33" s="10" t="s">
        <v>169</v>
      </c>
    </row>
    <row r="34" customFormat="false" ht="21.75" hidden="false" customHeight="true" outlineLevel="0" collapsed="false">
      <c r="A34" s="7" t="s">
        <v>161</v>
      </c>
      <c r="B34" s="7" t="s">
        <v>170</v>
      </c>
      <c r="C34" s="25"/>
      <c r="D34" s="12"/>
      <c r="E34" s="24"/>
      <c r="F34" s="10" t="s">
        <v>171</v>
      </c>
    </row>
    <row r="35" customFormat="false" ht="21.75" hidden="false" customHeight="true" outlineLevel="0" collapsed="false">
      <c r="A35" s="7" t="s">
        <v>161</v>
      </c>
      <c r="B35" s="7" t="s">
        <v>172</v>
      </c>
      <c r="C35" s="25"/>
      <c r="D35" s="12"/>
      <c r="E35" s="24"/>
      <c r="F35" s="13" t="s">
        <v>143</v>
      </c>
    </row>
    <row r="36" customFormat="false" ht="21.75" hidden="false" customHeight="true" outlineLevel="0" collapsed="false">
      <c r="A36" s="7" t="s">
        <v>161</v>
      </c>
      <c r="B36" s="7" t="s">
        <v>173</v>
      </c>
      <c r="C36" s="25"/>
      <c r="D36" s="12"/>
      <c r="E36" s="24"/>
      <c r="F36" s="13" t="s">
        <v>143</v>
      </c>
    </row>
    <row r="37" customFormat="false" ht="21.75" hidden="false" customHeight="true" outlineLevel="0" collapsed="false">
      <c r="A37" s="7" t="s">
        <v>161</v>
      </c>
      <c r="B37" s="7" t="s">
        <v>174</v>
      </c>
      <c r="C37" s="25"/>
      <c r="D37" s="12"/>
      <c r="E37" s="24"/>
      <c r="F37" s="10" t="s">
        <v>175</v>
      </c>
    </row>
    <row r="38" customFormat="false" ht="21.75" hidden="false" customHeight="true" outlineLevel="0" collapsed="false">
      <c r="A38" s="7" t="s">
        <v>161</v>
      </c>
      <c r="B38" s="7" t="s">
        <v>176</v>
      </c>
      <c r="C38" s="25"/>
      <c r="D38" s="12"/>
      <c r="E38" s="24"/>
      <c r="F38" s="13" t="s">
        <v>147</v>
      </c>
    </row>
  </sheetData>
  <mergeCells count="7">
    <mergeCell ref="A1:F1"/>
    <mergeCell ref="A2:F2"/>
    <mergeCell ref="A4:F4"/>
    <mergeCell ref="A8:F8"/>
    <mergeCell ref="A15:F15"/>
    <mergeCell ref="A22:F22"/>
    <mergeCell ref="A28:F28"/>
  </mergeCells>
  <dataValidations count="3">
    <dataValidation allowBlank="true" errorStyle="stop" operator="between" showDropDown="false" showErrorMessage="false" showInputMessage="false" sqref="E5:E7 E9:E14 E16:E21 E23:E27 E29:E38" type="list">
      <formula1>"입력완료,미입력,상담필요"</formula1>
      <formula2>0</formula2>
    </dataValidation>
    <dataValidation allowBlank="true" errorStyle="stop" operator="between" showDropDown="false" showErrorMessage="false" showInputMessage="false" sqref="D9 D11 D13 D16:D21 D23:D26 D29:D33 D35:D36 D38" type="list">
      <formula1>"Y,N"</formula1>
      <formula2>0</formula2>
    </dataValidation>
    <dataValidation allowBlank="true" error="주차 안내는 400자 이내로 입력해 주세요." errorStyle="stop" errorTitle="글자 수 초과" operator="lessThanOrEqual" showDropDown="false" showErrorMessage="false" showInputMessage="false" sqref="D10" type="textLength">
      <formula1>400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4" hidden="false" customHeight="true" outlineLevel="0" collapsed="false">
      <c r="A1" s="23" t="s">
        <v>177</v>
      </c>
      <c r="B1" s="23"/>
      <c r="C1" s="23"/>
      <c r="D1" s="23"/>
      <c r="E1" s="23"/>
      <c r="F1" s="23"/>
      <c r="G1" s="23"/>
      <c r="H1" s="23"/>
    </row>
    <row r="2" customFormat="false" ht="30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14" t="s">
        <v>179</v>
      </c>
      <c r="B3" s="14" t="s">
        <v>180</v>
      </c>
      <c r="C3" s="14" t="s">
        <v>181</v>
      </c>
      <c r="D3" s="14" t="s">
        <v>182</v>
      </c>
      <c r="E3" s="14" t="s">
        <v>183</v>
      </c>
      <c r="F3" s="14" t="s">
        <v>184</v>
      </c>
      <c r="G3" s="14" t="s">
        <v>185</v>
      </c>
      <c r="H3" s="14" t="s">
        <v>40</v>
      </c>
    </row>
    <row r="4" customFormat="false" ht="15" hidden="false" customHeight="false" outlineLevel="0" collapsed="false">
      <c r="A4" s="28" t="s">
        <v>186</v>
      </c>
      <c r="B4" s="29" t="s">
        <v>187</v>
      </c>
      <c r="C4" s="29" t="s">
        <v>188</v>
      </c>
      <c r="D4" s="29" t="s">
        <v>189</v>
      </c>
      <c r="E4" s="29" t="s">
        <v>190</v>
      </c>
      <c r="F4" s="29" t="s">
        <v>191</v>
      </c>
      <c r="G4" s="29" t="s">
        <v>192</v>
      </c>
      <c r="H4" s="30" t="s">
        <v>193</v>
      </c>
    </row>
    <row r="5" customFormat="false" ht="21.75" hidden="false" customHeight="true" outlineLevel="0" collapsed="false">
      <c r="A5" s="31" t="s">
        <v>194</v>
      </c>
      <c r="B5" s="32"/>
      <c r="C5" s="32"/>
      <c r="D5" s="32"/>
      <c r="E5" s="32"/>
      <c r="F5" s="32"/>
      <c r="G5" s="32"/>
      <c r="H5" s="12"/>
    </row>
    <row r="6" customFormat="false" ht="21.75" hidden="false" customHeight="true" outlineLevel="0" collapsed="false">
      <c r="A6" s="31" t="s">
        <v>195</v>
      </c>
      <c r="B6" s="32"/>
      <c r="C6" s="32"/>
      <c r="D6" s="32"/>
      <c r="E6" s="32"/>
      <c r="F6" s="32"/>
      <c r="G6" s="32"/>
      <c r="H6" s="12"/>
    </row>
    <row r="7" customFormat="false" ht="21.75" hidden="false" customHeight="true" outlineLevel="0" collapsed="false">
      <c r="A7" s="31" t="s">
        <v>196</v>
      </c>
      <c r="B7" s="32"/>
      <c r="C7" s="32"/>
      <c r="D7" s="32"/>
      <c r="E7" s="32"/>
      <c r="F7" s="32"/>
      <c r="G7" s="32"/>
      <c r="H7" s="12"/>
    </row>
    <row r="8" customFormat="false" ht="21.75" hidden="false" customHeight="true" outlineLevel="0" collapsed="false">
      <c r="A8" s="31" t="s">
        <v>197</v>
      </c>
      <c r="B8" s="32"/>
      <c r="C8" s="32"/>
      <c r="D8" s="32"/>
      <c r="E8" s="32"/>
      <c r="F8" s="32"/>
      <c r="G8" s="32"/>
      <c r="H8" s="12"/>
    </row>
    <row r="9" customFormat="false" ht="21.75" hidden="false" customHeight="true" outlineLevel="0" collapsed="false">
      <c r="A9" s="31" t="s">
        <v>198</v>
      </c>
      <c r="B9" s="32"/>
      <c r="C9" s="32"/>
      <c r="D9" s="32"/>
      <c r="E9" s="32"/>
      <c r="F9" s="32"/>
      <c r="G9" s="32"/>
      <c r="H9" s="12"/>
    </row>
    <row r="10" customFormat="false" ht="21.75" hidden="false" customHeight="true" outlineLevel="0" collapsed="false">
      <c r="A10" s="31" t="s">
        <v>199</v>
      </c>
      <c r="B10" s="32"/>
      <c r="C10" s="32"/>
      <c r="D10" s="32"/>
      <c r="E10" s="32"/>
      <c r="F10" s="32"/>
      <c r="G10" s="32"/>
      <c r="H10" s="12"/>
    </row>
    <row r="11" customFormat="false" ht="21.75" hidden="false" customHeight="true" outlineLevel="0" collapsed="false">
      <c r="A11" s="31" t="s">
        <v>200</v>
      </c>
      <c r="B11" s="32"/>
      <c r="C11" s="32"/>
      <c r="D11" s="32"/>
      <c r="E11" s="32"/>
      <c r="F11" s="32"/>
      <c r="G11" s="32"/>
      <c r="H11" s="12"/>
    </row>
    <row r="12" customFormat="false" ht="21.75" hidden="false" customHeight="true" outlineLevel="0" collapsed="false">
      <c r="A12" s="31" t="s">
        <v>201</v>
      </c>
      <c r="B12" s="32"/>
      <c r="C12" s="32"/>
      <c r="D12" s="32"/>
      <c r="E12" s="32"/>
      <c r="F12" s="32"/>
      <c r="G12" s="32"/>
      <c r="H12" s="12"/>
    </row>
    <row r="14" customFormat="false" ht="15" hidden="false" customHeight="false" outlineLevel="0" collapsed="false">
      <c r="A14" s="33" t="s">
        <v>202</v>
      </c>
      <c r="B14" s="34"/>
      <c r="C14" s="34"/>
      <c r="D14" s="34"/>
      <c r="E14" s="34"/>
      <c r="F14" s="34"/>
      <c r="G14" s="34"/>
      <c r="H14" s="34"/>
    </row>
    <row r="15" customFormat="false" ht="21.75" hidden="false" customHeight="true" outlineLevel="0" collapsed="false">
      <c r="A15" s="7" t="s">
        <v>203</v>
      </c>
      <c r="B15" s="35"/>
      <c r="C15" s="35"/>
      <c r="D15" s="35"/>
      <c r="E15" s="35"/>
      <c r="F15" s="10" t="s">
        <v>204</v>
      </c>
      <c r="G15" s="10"/>
      <c r="H15" s="10"/>
    </row>
    <row r="16" customFormat="false" ht="21.75" hidden="false" customHeight="true" outlineLevel="0" collapsed="false">
      <c r="A16" s="7" t="s">
        <v>205</v>
      </c>
      <c r="B16" s="35"/>
      <c r="C16" s="35"/>
      <c r="D16" s="35"/>
      <c r="E16" s="35"/>
      <c r="F16" s="10" t="s">
        <v>206</v>
      </c>
      <c r="G16" s="10"/>
      <c r="H16" s="10"/>
    </row>
    <row r="17" customFormat="false" ht="21.75" hidden="false" customHeight="true" outlineLevel="0" collapsed="false">
      <c r="A17" s="7" t="s">
        <v>207</v>
      </c>
      <c r="B17" s="35"/>
      <c r="C17" s="35"/>
      <c r="D17" s="35"/>
      <c r="E17" s="35"/>
      <c r="F17" s="10" t="s">
        <v>208</v>
      </c>
      <c r="G17" s="10"/>
      <c r="H17" s="10"/>
    </row>
  </sheetData>
  <mergeCells count="8">
    <mergeCell ref="A1:H1"/>
    <mergeCell ref="A2:H2"/>
    <mergeCell ref="B15:E15"/>
    <mergeCell ref="F15:H15"/>
    <mergeCell ref="B16:E16"/>
    <mergeCell ref="F16:H16"/>
    <mergeCell ref="B17:E17"/>
    <mergeCell ref="F17:H17"/>
  </mergeCells>
  <dataValidations count="1">
    <dataValidation allowBlank="true" errorStyle="stop" operator="between" showDropDown="false" showErrorMessage="false" showInputMessage="false" sqref="B5:B1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23" t="s">
        <v>209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30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36" t="s">
        <v>211</v>
      </c>
      <c r="B3" s="14" t="s">
        <v>212</v>
      </c>
      <c r="C3" s="14" t="s">
        <v>213</v>
      </c>
      <c r="D3" s="14" t="s">
        <v>214</v>
      </c>
      <c r="E3" s="14" t="s">
        <v>215</v>
      </c>
      <c r="F3" s="14" t="s">
        <v>216</v>
      </c>
      <c r="G3" s="14" t="s">
        <v>217</v>
      </c>
      <c r="H3" s="14" t="s">
        <v>218</v>
      </c>
      <c r="I3" s="14" t="s">
        <v>219</v>
      </c>
      <c r="J3" s="14" t="s">
        <v>220</v>
      </c>
    </row>
    <row r="4" customFormat="false" ht="21.75" hidden="false" customHeight="true" outlineLevel="0" collapsed="false">
      <c r="A4" s="28" t="s">
        <v>186</v>
      </c>
      <c r="B4" s="30" t="s">
        <v>221</v>
      </c>
      <c r="C4" s="30" t="s">
        <v>222</v>
      </c>
      <c r="D4" s="28" t="n">
        <v>60</v>
      </c>
      <c r="E4" s="37" t="n">
        <v>80000</v>
      </c>
      <c r="F4" s="38" t="s">
        <v>223</v>
      </c>
      <c r="G4" s="30" t="s">
        <v>224</v>
      </c>
      <c r="H4" s="29" t="s">
        <v>187</v>
      </c>
      <c r="I4" s="28" t="n">
        <v>1</v>
      </c>
      <c r="J4" s="28" t="s">
        <v>225</v>
      </c>
    </row>
    <row r="5" customFormat="false" ht="19.5" hidden="false" customHeight="true" outlineLevel="0" collapsed="false">
      <c r="A5" s="39" t="n">
        <v>1</v>
      </c>
      <c r="B5" s="32"/>
      <c r="C5" s="32"/>
      <c r="D5" s="32"/>
      <c r="E5" s="40"/>
      <c r="F5" s="32"/>
      <c r="G5" s="32"/>
      <c r="H5" s="32"/>
      <c r="I5" s="32"/>
      <c r="J5" s="17" t="str">
        <f aca="false">IF($C5="","","예약상품 "&amp;COUNTIFS('06_예약상품'!$C$5:$C$44,"시술",'06_예약상품'!$D$5:$D$44,$C5)&amp;"건 · 패키지 "&amp;SUMPRODUCT(--ISNUMBER(SEARCH($C5,'05_패키지'!$C$5:$C$24)))&amp;"건")</f>
        <v/>
      </c>
    </row>
    <row r="6" customFormat="false" ht="19.5" hidden="false" customHeight="true" outlineLevel="0" collapsed="false">
      <c r="A6" s="39" t="n">
        <v>2</v>
      </c>
      <c r="B6" s="32"/>
      <c r="C6" s="32"/>
      <c r="D6" s="32"/>
      <c r="E6" s="40"/>
      <c r="F6" s="32"/>
      <c r="G6" s="32"/>
      <c r="H6" s="32"/>
      <c r="I6" s="32"/>
      <c r="J6" s="17" t="str">
        <f aca="false">IF($C6="","","예약상품 "&amp;COUNTIFS('06_예약상품'!$C$5:$C$44,"시술",'06_예약상품'!$D$5:$D$44,$C6)&amp;"건 · 패키지 "&amp;SUMPRODUCT(--ISNUMBER(SEARCH($C6,'05_패키지'!$C$5:$C$24)))&amp;"건")</f>
        <v/>
      </c>
    </row>
    <row r="7" customFormat="false" ht="19.5" hidden="false" customHeight="true" outlineLevel="0" collapsed="false">
      <c r="A7" s="39" t="n">
        <v>3</v>
      </c>
      <c r="B7" s="32"/>
      <c r="C7" s="32"/>
      <c r="D7" s="32"/>
      <c r="E7" s="40"/>
      <c r="F7" s="32"/>
      <c r="G7" s="32"/>
      <c r="H7" s="32"/>
      <c r="I7" s="32"/>
      <c r="J7" s="17" t="str">
        <f aca="false">IF($C7="","","예약상품 "&amp;COUNTIFS('06_예약상품'!$C$5:$C$44,"시술",'06_예약상품'!$D$5:$D$44,$C7)&amp;"건 · 패키지 "&amp;SUMPRODUCT(--ISNUMBER(SEARCH($C7,'05_패키지'!$C$5:$C$24)))&amp;"건")</f>
        <v/>
      </c>
    </row>
    <row r="8" customFormat="false" ht="19.5" hidden="false" customHeight="true" outlineLevel="0" collapsed="false">
      <c r="A8" s="39" t="n">
        <v>4</v>
      </c>
      <c r="B8" s="32"/>
      <c r="C8" s="32"/>
      <c r="D8" s="32"/>
      <c r="E8" s="40"/>
      <c r="F8" s="32"/>
      <c r="G8" s="32"/>
      <c r="H8" s="32"/>
      <c r="I8" s="32"/>
      <c r="J8" s="17" t="str">
        <f aca="false">IF($C8="","","예약상품 "&amp;COUNTIFS('06_예약상품'!$C$5:$C$44,"시술",'06_예약상품'!$D$5:$D$44,$C8)&amp;"건 · 패키지 "&amp;SUMPRODUCT(--ISNUMBER(SEARCH($C8,'05_패키지'!$C$5:$C$24)))&amp;"건")</f>
        <v/>
      </c>
    </row>
    <row r="9" customFormat="false" ht="19.5" hidden="false" customHeight="true" outlineLevel="0" collapsed="false">
      <c r="A9" s="39" t="n">
        <v>5</v>
      </c>
      <c r="B9" s="32"/>
      <c r="C9" s="32"/>
      <c r="D9" s="32"/>
      <c r="E9" s="40"/>
      <c r="F9" s="32"/>
      <c r="G9" s="32"/>
      <c r="H9" s="32"/>
      <c r="I9" s="32"/>
      <c r="J9" s="17" t="str">
        <f aca="false">IF($C9="","","예약상품 "&amp;COUNTIFS('06_예약상품'!$C$5:$C$44,"시술",'06_예약상품'!$D$5:$D$44,$C9)&amp;"건 · 패키지 "&amp;SUMPRODUCT(--ISNUMBER(SEARCH($C9,'05_패키지'!$C$5:$C$24)))&amp;"건")</f>
        <v/>
      </c>
    </row>
    <row r="10" customFormat="false" ht="19.5" hidden="false" customHeight="true" outlineLevel="0" collapsed="false">
      <c r="A10" s="39" t="n">
        <v>6</v>
      </c>
      <c r="B10" s="32"/>
      <c r="C10" s="32"/>
      <c r="D10" s="32"/>
      <c r="E10" s="40"/>
      <c r="F10" s="32"/>
      <c r="G10" s="32"/>
      <c r="H10" s="32"/>
      <c r="I10" s="32"/>
      <c r="J10" s="17" t="str">
        <f aca="false">IF($C10="","","예약상품 "&amp;COUNTIFS('06_예약상품'!$C$5:$C$44,"시술",'06_예약상품'!$D$5:$D$44,$C10)&amp;"건 · 패키지 "&amp;SUMPRODUCT(--ISNUMBER(SEARCH($C10,'05_패키지'!$C$5:$C$24)))&amp;"건")</f>
        <v/>
      </c>
    </row>
    <row r="11" customFormat="false" ht="19.5" hidden="false" customHeight="true" outlineLevel="0" collapsed="false">
      <c r="A11" s="39" t="n">
        <v>7</v>
      </c>
      <c r="B11" s="32"/>
      <c r="C11" s="32"/>
      <c r="D11" s="32"/>
      <c r="E11" s="40"/>
      <c r="F11" s="32"/>
      <c r="G11" s="32"/>
      <c r="H11" s="32"/>
      <c r="I11" s="32"/>
      <c r="J11" s="17" t="str">
        <f aca="false">IF($C11="","","예약상품 "&amp;COUNTIFS('06_예약상품'!$C$5:$C$44,"시술",'06_예약상품'!$D$5:$D$44,$C11)&amp;"건 · 패키지 "&amp;SUMPRODUCT(--ISNUMBER(SEARCH($C11,'05_패키지'!$C$5:$C$24)))&amp;"건")</f>
        <v/>
      </c>
    </row>
    <row r="12" customFormat="false" ht="19.5" hidden="false" customHeight="true" outlineLevel="0" collapsed="false">
      <c r="A12" s="39" t="n">
        <v>8</v>
      </c>
      <c r="B12" s="32"/>
      <c r="C12" s="32"/>
      <c r="D12" s="32"/>
      <c r="E12" s="40"/>
      <c r="F12" s="32"/>
      <c r="G12" s="32"/>
      <c r="H12" s="32"/>
      <c r="I12" s="32"/>
      <c r="J12" s="17" t="str">
        <f aca="false">IF($C12="","","예약상품 "&amp;COUNTIFS('06_예약상품'!$C$5:$C$44,"시술",'06_예약상품'!$D$5:$D$44,$C12)&amp;"건 · 패키지 "&amp;SUMPRODUCT(--ISNUMBER(SEARCH($C12,'05_패키지'!$C$5:$C$24)))&amp;"건")</f>
        <v/>
      </c>
    </row>
    <row r="13" customFormat="false" ht="19.5" hidden="false" customHeight="true" outlineLevel="0" collapsed="false">
      <c r="A13" s="39" t="n">
        <v>9</v>
      </c>
      <c r="B13" s="32"/>
      <c r="C13" s="32"/>
      <c r="D13" s="32"/>
      <c r="E13" s="40"/>
      <c r="F13" s="32"/>
      <c r="G13" s="32"/>
      <c r="H13" s="32"/>
      <c r="I13" s="32"/>
      <c r="J13" s="17" t="str">
        <f aca="false">IF($C13="","","예약상품 "&amp;COUNTIFS('06_예약상품'!$C$5:$C$44,"시술",'06_예약상품'!$D$5:$D$44,$C13)&amp;"건 · 패키지 "&amp;SUMPRODUCT(--ISNUMBER(SEARCH($C13,'05_패키지'!$C$5:$C$24)))&amp;"건")</f>
        <v/>
      </c>
    </row>
    <row r="14" customFormat="false" ht="19.5" hidden="false" customHeight="true" outlineLevel="0" collapsed="false">
      <c r="A14" s="39" t="n">
        <v>10</v>
      </c>
      <c r="B14" s="32"/>
      <c r="C14" s="32"/>
      <c r="D14" s="32"/>
      <c r="E14" s="40"/>
      <c r="F14" s="32"/>
      <c r="G14" s="32"/>
      <c r="H14" s="32"/>
      <c r="I14" s="32"/>
      <c r="J14" s="17" t="str">
        <f aca="false">IF($C14="","","예약상품 "&amp;COUNTIFS('06_예약상품'!$C$5:$C$44,"시술",'06_예약상품'!$D$5:$D$44,$C14)&amp;"건 · 패키지 "&amp;SUMPRODUCT(--ISNUMBER(SEARCH($C14,'05_패키지'!$C$5:$C$24)))&amp;"건")</f>
        <v/>
      </c>
    </row>
    <row r="15" customFormat="false" ht="19.5" hidden="false" customHeight="true" outlineLevel="0" collapsed="false">
      <c r="A15" s="39" t="n">
        <v>11</v>
      </c>
      <c r="B15" s="32"/>
      <c r="C15" s="32"/>
      <c r="D15" s="32"/>
      <c r="E15" s="40"/>
      <c r="F15" s="32"/>
      <c r="G15" s="32"/>
      <c r="H15" s="32"/>
      <c r="I15" s="32"/>
      <c r="J15" s="17" t="str">
        <f aca="false">IF($C15="","","예약상품 "&amp;COUNTIFS('06_예약상품'!$C$5:$C$44,"시술",'06_예약상품'!$D$5:$D$44,$C15)&amp;"건 · 패키지 "&amp;SUMPRODUCT(--ISNUMBER(SEARCH($C15,'05_패키지'!$C$5:$C$24)))&amp;"건")</f>
        <v/>
      </c>
    </row>
    <row r="16" customFormat="false" ht="19.5" hidden="false" customHeight="true" outlineLevel="0" collapsed="false">
      <c r="A16" s="39" t="n">
        <v>12</v>
      </c>
      <c r="B16" s="32"/>
      <c r="C16" s="32"/>
      <c r="D16" s="32"/>
      <c r="E16" s="40"/>
      <c r="F16" s="32"/>
      <c r="G16" s="32"/>
      <c r="H16" s="32"/>
      <c r="I16" s="32"/>
      <c r="J16" s="17" t="str">
        <f aca="false">IF($C16="","","예약상품 "&amp;COUNTIFS('06_예약상품'!$C$5:$C$44,"시술",'06_예약상품'!$D$5:$D$44,$C16)&amp;"건 · 패키지 "&amp;SUMPRODUCT(--ISNUMBER(SEARCH($C16,'05_패키지'!$C$5:$C$24)))&amp;"건")</f>
        <v/>
      </c>
    </row>
    <row r="17" customFormat="false" ht="19.5" hidden="false" customHeight="true" outlineLevel="0" collapsed="false">
      <c r="A17" s="39" t="n">
        <v>13</v>
      </c>
      <c r="B17" s="32"/>
      <c r="C17" s="32"/>
      <c r="D17" s="32"/>
      <c r="E17" s="40"/>
      <c r="F17" s="32"/>
      <c r="G17" s="32"/>
      <c r="H17" s="32"/>
      <c r="I17" s="32"/>
      <c r="J17" s="17" t="str">
        <f aca="false">IF($C17="","","예약상품 "&amp;COUNTIFS('06_예약상품'!$C$5:$C$44,"시술",'06_예약상품'!$D$5:$D$44,$C17)&amp;"건 · 패키지 "&amp;SUMPRODUCT(--ISNUMBER(SEARCH($C17,'05_패키지'!$C$5:$C$24)))&amp;"건")</f>
        <v/>
      </c>
    </row>
    <row r="18" customFormat="false" ht="19.5" hidden="false" customHeight="true" outlineLevel="0" collapsed="false">
      <c r="A18" s="39" t="n">
        <v>14</v>
      </c>
      <c r="B18" s="32"/>
      <c r="C18" s="32"/>
      <c r="D18" s="32"/>
      <c r="E18" s="40"/>
      <c r="F18" s="32"/>
      <c r="G18" s="32"/>
      <c r="H18" s="32"/>
      <c r="I18" s="32"/>
      <c r="J18" s="17" t="str">
        <f aca="false">IF($C18="","","예약상품 "&amp;COUNTIFS('06_예약상품'!$C$5:$C$44,"시술",'06_예약상품'!$D$5:$D$44,$C18)&amp;"건 · 패키지 "&amp;SUMPRODUCT(--ISNUMBER(SEARCH($C18,'05_패키지'!$C$5:$C$24)))&amp;"건")</f>
        <v/>
      </c>
    </row>
    <row r="19" customFormat="false" ht="19.5" hidden="false" customHeight="true" outlineLevel="0" collapsed="false">
      <c r="A19" s="39" t="n">
        <v>15</v>
      </c>
      <c r="B19" s="32"/>
      <c r="C19" s="32"/>
      <c r="D19" s="32"/>
      <c r="E19" s="40"/>
      <c r="F19" s="32"/>
      <c r="G19" s="32"/>
      <c r="H19" s="32"/>
      <c r="I19" s="32"/>
      <c r="J19" s="17" t="str">
        <f aca="false">IF($C19="","","예약상품 "&amp;COUNTIFS('06_예약상품'!$C$5:$C$44,"시술",'06_예약상품'!$D$5:$D$44,$C19)&amp;"건 · 패키지 "&amp;SUMPRODUCT(--ISNUMBER(SEARCH($C19,'05_패키지'!$C$5:$C$24)))&amp;"건")</f>
        <v/>
      </c>
    </row>
    <row r="20" customFormat="false" ht="19.5" hidden="false" customHeight="true" outlineLevel="0" collapsed="false">
      <c r="A20" s="39" t="n">
        <v>16</v>
      </c>
      <c r="B20" s="32"/>
      <c r="C20" s="32"/>
      <c r="D20" s="32"/>
      <c r="E20" s="40"/>
      <c r="F20" s="32"/>
      <c r="G20" s="32"/>
      <c r="H20" s="32"/>
      <c r="I20" s="32"/>
      <c r="J20" s="17" t="str">
        <f aca="false">IF($C20="","","예약상품 "&amp;COUNTIFS('06_예약상품'!$C$5:$C$44,"시술",'06_예약상품'!$D$5:$D$44,$C20)&amp;"건 · 패키지 "&amp;SUMPRODUCT(--ISNUMBER(SEARCH($C20,'05_패키지'!$C$5:$C$24)))&amp;"건")</f>
        <v/>
      </c>
    </row>
    <row r="21" customFormat="false" ht="19.5" hidden="false" customHeight="true" outlineLevel="0" collapsed="false">
      <c r="A21" s="39" t="n">
        <v>17</v>
      </c>
      <c r="B21" s="32"/>
      <c r="C21" s="32"/>
      <c r="D21" s="32"/>
      <c r="E21" s="40"/>
      <c r="F21" s="32"/>
      <c r="G21" s="32"/>
      <c r="H21" s="32"/>
      <c r="I21" s="32"/>
      <c r="J21" s="17" t="str">
        <f aca="false">IF($C21="","","예약상품 "&amp;COUNTIFS('06_예약상품'!$C$5:$C$44,"시술",'06_예약상품'!$D$5:$D$44,$C21)&amp;"건 · 패키지 "&amp;SUMPRODUCT(--ISNUMBER(SEARCH($C21,'05_패키지'!$C$5:$C$24)))&amp;"건")</f>
        <v/>
      </c>
    </row>
    <row r="22" customFormat="false" ht="19.5" hidden="false" customHeight="true" outlineLevel="0" collapsed="false">
      <c r="A22" s="39" t="n">
        <v>18</v>
      </c>
      <c r="B22" s="32"/>
      <c r="C22" s="32"/>
      <c r="D22" s="32"/>
      <c r="E22" s="40"/>
      <c r="F22" s="32"/>
      <c r="G22" s="32"/>
      <c r="H22" s="32"/>
      <c r="I22" s="32"/>
      <c r="J22" s="17" t="str">
        <f aca="false">IF($C22="","","예약상품 "&amp;COUNTIFS('06_예약상품'!$C$5:$C$44,"시술",'06_예약상품'!$D$5:$D$44,$C22)&amp;"건 · 패키지 "&amp;SUMPRODUCT(--ISNUMBER(SEARCH($C22,'05_패키지'!$C$5:$C$24)))&amp;"건")</f>
        <v/>
      </c>
    </row>
    <row r="23" customFormat="false" ht="19.5" hidden="false" customHeight="true" outlineLevel="0" collapsed="false">
      <c r="A23" s="39" t="n">
        <v>19</v>
      </c>
      <c r="B23" s="32"/>
      <c r="C23" s="32"/>
      <c r="D23" s="32"/>
      <c r="E23" s="40"/>
      <c r="F23" s="32"/>
      <c r="G23" s="32"/>
      <c r="H23" s="32"/>
      <c r="I23" s="32"/>
      <c r="J23" s="17" t="str">
        <f aca="false">IF($C23="","","예약상품 "&amp;COUNTIFS('06_예약상품'!$C$5:$C$44,"시술",'06_예약상품'!$D$5:$D$44,$C23)&amp;"건 · 패키지 "&amp;SUMPRODUCT(--ISNUMBER(SEARCH($C23,'05_패키지'!$C$5:$C$24)))&amp;"건")</f>
        <v/>
      </c>
    </row>
    <row r="24" customFormat="false" ht="19.5" hidden="false" customHeight="true" outlineLevel="0" collapsed="false">
      <c r="A24" s="39" t="n">
        <v>20</v>
      </c>
      <c r="B24" s="32"/>
      <c r="C24" s="32"/>
      <c r="D24" s="32"/>
      <c r="E24" s="40"/>
      <c r="F24" s="32"/>
      <c r="G24" s="32"/>
      <c r="H24" s="32"/>
      <c r="I24" s="32"/>
      <c r="J24" s="17" t="str">
        <f aca="false">IF($C24="","","예약상품 "&amp;COUNTIFS('06_예약상품'!$C$5:$C$44,"시술",'06_예약상품'!$D$5:$D$44,$C24)&amp;"건 · 패키지 "&amp;SUMPRODUCT(--ISNUMBER(SEARCH($C24,'05_패키지'!$C$5:$C$24)))&amp;"건")</f>
        <v/>
      </c>
    </row>
    <row r="25" customFormat="false" ht="19.5" hidden="false" customHeight="true" outlineLevel="0" collapsed="false">
      <c r="A25" s="39" t="n">
        <v>21</v>
      </c>
      <c r="B25" s="32"/>
      <c r="C25" s="32"/>
      <c r="D25" s="32"/>
      <c r="E25" s="40"/>
      <c r="F25" s="32"/>
      <c r="G25" s="32"/>
      <c r="H25" s="32"/>
      <c r="I25" s="32"/>
      <c r="J25" s="17" t="str">
        <f aca="false">IF($C25="","","예약상품 "&amp;COUNTIFS('06_예약상품'!$C$5:$C$44,"시술",'06_예약상품'!$D$5:$D$44,$C25)&amp;"건 · 패키지 "&amp;SUMPRODUCT(--ISNUMBER(SEARCH($C25,'05_패키지'!$C$5:$C$24)))&amp;"건")</f>
        <v/>
      </c>
    </row>
    <row r="26" customFormat="false" ht="19.5" hidden="false" customHeight="true" outlineLevel="0" collapsed="false">
      <c r="A26" s="39" t="n">
        <v>22</v>
      </c>
      <c r="B26" s="32"/>
      <c r="C26" s="32"/>
      <c r="D26" s="32"/>
      <c r="E26" s="40"/>
      <c r="F26" s="32"/>
      <c r="G26" s="32"/>
      <c r="H26" s="32"/>
      <c r="I26" s="32"/>
      <c r="J26" s="17" t="str">
        <f aca="false">IF($C26="","","예약상품 "&amp;COUNTIFS('06_예약상품'!$C$5:$C$44,"시술",'06_예약상품'!$D$5:$D$44,$C26)&amp;"건 · 패키지 "&amp;SUMPRODUCT(--ISNUMBER(SEARCH($C26,'05_패키지'!$C$5:$C$24)))&amp;"건")</f>
        <v/>
      </c>
    </row>
    <row r="27" customFormat="false" ht="19.5" hidden="false" customHeight="true" outlineLevel="0" collapsed="false">
      <c r="A27" s="39" t="n">
        <v>23</v>
      </c>
      <c r="B27" s="32"/>
      <c r="C27" s="32"/>
      <c r="D27" s="32"/>
      <c r="E27" s="40"/>
      <c r="F27" s="32"/>
      <c r="G27" s="32"/>
      <c r="H27" s="32"/>
      <c r="I27" s="32"/>
      <c r="J27" s="17" t="str">
        <f aca="false">IF($C27="","","예약상품 "&amp;COUNTIFS('06_예약상품'!$C$5:$C$44,"시술",'06_예약상품'!$D$5:$D$44,$C27)&amp;"건 · 패키지 "&amp;SUMPRODUCT(--ISNUMBER(SEARCH($C27,'05_패키지'!$C$5:$C$24)))&amp;"건")</f>
        <v/>
      </c>
    </row>
    <row r="28" customFormat="false" ht="19.5" hidden="false" customHeight="true" outlineLevel="0" collapsed="false">
      <c r="A28" s="39" t="n">
        <v>24</v>
      </c>
      <c r="B28" s="32"/>
      <c r="C28" s="32"/>
      <c r="D28" s="32"/>
      <c r="E28" s="40"/>
      <c r="F28" s="32"/>
      <c r="G28" s="32"/>
      <c r="H28" s="32"/>
      <c r="I28" s="32"/>
      <c r="J28" s="17" t="str">
        <f aca="false">IF($C28="","","예약상품 "&amp;COUNTIFS('06_예약상품'!$C$5:$C$44,"시술",'06_예약상품'!$D$5:$D$44,$C28)&amp;"건 · 패키지 "&amp;SUMPRODUCT(--ISNUMBER(SEARCH($C28,'05_패키지'!$C$5:$C$24)))&amp;"건")</f>
        <v/>
      </c>
    </row>
    <row r="29" customFormat="false" ht="19.5" hidden="false" customHeight="true" outlineLevel="0" collapsed="false">
      <c r="A29" s="39" t="n">
        <v>25</v>
      </c>
      <c r="B29" s="32"/>
      <c r="C29" s="32"/>
      <c r="D29" s="32"/>
      <c r="E29" s="40"/>
      <c r="F29" s="32"/>
      <c r="G29" s="32"/>
      <c r="H29" s="32"/>
      <c r="I29" s="32"/>
      <c r="J29" s="17" t="str">
        <f aca="false">IF($C29="","","예약상품 "&amp;COUNTIFS('06_예약상품'!$C$5:$C$44,"시술",'06_예약상품'!$D$5:$D$44,$C29)&amp;"건 · 패키지 "&amp;SUMPRODUCT(--ISNUMBER(SEARCH($C29,'05_패키지'!$C$5:$C$24)))&amp;"건")</f>
        <v/>
      </c>
    </row>
    <row r="30" customFormat="false" ht="19.5" hidden="false" customHeight="true" outlineLevel="0" collapsed="false">
      <c r="A30" s="39" t="n">
        <v>26</v>
      </c>
      <c r="B30" s="32"/>
      <c r="C30" s="32"/>
      <c r="D30" s="32"/>
      <c r="E30" s="40"/>
      <c r="F30" s="32"/>
      <c r="G30" s="32"/>
      <c r="H30" s="32"/>
      <c r="I30" s="32"/>
      <c r="J30" s="17" t="str">
        <f aca="false">IF($C30="","","예약상품 "&amp;COUNTIFS('06_예약상품'!$C$5:$C$44,"시술",'06_예약상품'!$D$5:$D$44,$C30)&amp;"건 · 패키지 "&amp;SUMPRODUCT(--ISNUMBER(SEARCH($C30,'05_패키지'!$C$5:$C$24)))&amp;"건")</f>
        <v/>
      </c>
    </row>
    <row r="31" customFormat="false" ht="19.5" hidden="false" customHeight="true" outlineLevel="0" collapsed="false">
      <c r="A31" s="39" t="n">
        <v>27</v>
      </c>
      <c r="B31" s="32"/>
      <c r="C31" s="32"/>
      <c r="D31" s="32"/>
      <c r="E31" s="40"/>
      <c r="F31" s="32"/>
      <c r="G31" s="32"/>
      <c r="H31" s="32"/>
      <c r="I31" s="32"/>
      <c r="J31" s="17" t="str">
        <f aca="false">IF($C31="","","예약상품 "&amp;COUNTIFS('06_예약상품'!$C$5:$C$44,"시술",'06_예약상품'!$D$5:$D$44,$C31)&amp;"건 · 패키지 "&amp;SUMPRODUCT(--ISNUMBER(SEARCH($C31,'05_패키지'!$C$5:$C$24)))&amp;"건")</f>
        <v/>
      </c>
    </row>
    <row r="32" customFormat="false" ht="19.5" hidden="false" customHeight="true" outlineLevel="0" collapsed="false">
      <c r="A32" s="39" t="n">
        <v>28</v>
      </c>
      <c r="B32" s="32"/>
      <c r="C32" s="32"/>
      <c r="D32" s="32"/>
      <c r="E32" s="40"/>
      <c r="F32" s="32"/>
      <c r="G32" s="32"/>
      <c r="H32" s="32"/>
      <c r="I32" s="32"/>
      <c r="J32" s="17" t="str">
        <f aca="false">IF($C32="","","예약상품 "&amp;COUNTIFS('06_예약상품'!$C$5:$C$44,"시술",'06_예약상품'!$D$5:$D$44,$C32)&amp;"건 · 패키지 "&amp;SUMPRODUCT(--ISNUMBER(SEARCH($C32,'05_패키지'!$C$5:$C$24)))&amp;"건")</f>
        <v/>
      </c>
    </row>
    <row r="33" customFormat="false" ht="19.5" hidden="false" customHeight="true" outlineLevel="0" collapsed="false">
      <c r="A33" s="39" t="n">
        <v>29</v>
      </c>
      <c r="B33" s="32"/>
      <c r="C33" s="32"/>
      <c r="D33" s="32"/>
      <c r="E33" s="40"/>
      <c r="F33" s="32"/>
      <c r="G33" s="32"/>
      <c r="H33" s="32"/>
      <c r="I33" s="32"/>
      <c r="J33" s="17" t="str">
        <f aca="false">IF($C33="","","예약상품 "&amp;COUNTIFS('06_예약상품'!$C$5:$C$44,"시술",'06_예약상품'!$D$5:$D$44,$C33)&amp;"건 · 패키지 "&amp;SUMPRODUCT(--ISNUMBER(SEARCH($C33,'05_패키지'!$C$5:$C$24)))&amp;"건")</f>
        <v/>
      </c>
    </row>
    <row r="34" customFormat="false" ht="19.5" hidden="false" customHeight="true" outlineLevel="0" collapsed="false">
      <c r="A34" s="39" t="n">
        <v>30</v>
      </c>
      <c r="B34" s="32"/>
      <c r="C34" s="32"/>
      <c r="D34" s="32"/>
      <c r="E34" s="40"/>
      <c r="F34" s="32"/>
      <c r="G34" s="32"/>
      <c r="H34" s="32"/>
      <c r="I34" s="32"/>
      <c r="J34" s="17" t="str">
        <f aca="false">IF($C34="","","예약상품 "&amp;COUNTIFS('06_예약상품'!$C$5:$C$44,"시술",'06_예약상품'!$D$5:$D$44,$C34)&amp;"건 · 패키지 "&amp;SUMPRODUCT(--ISNUMBER(SEARCH($C34,'05_패키지'!$C$5:$C$24)))&amp;"건")</f>
        <v/>
      </c>
    </row>
    <row r="35" customFormat="false" ht="19.5" hidden="false" customHeight="true" outlineLevel="0" collapsed="false">
      <c r="A35" s="39" t="n">
        <v>31</v>
      </c>
      <c r="B35" s="32"/>
      <c r="C35" s="32"/>
      <c r="D35" s="32"/>
      <c r="E35" s="40"/>
      <c r="F35" s="32"/>
      <c r="G35" s="32"/>
      <c r="H35" s="32"/>
      <c r="I35" s="32"/>
      <c r="J35" s="17" t="str">
        <f aca="false">IF($C35="","","예약상품 "&amp;COUNTIFS('06_예약상품'!$C$5:$C$44,"시술",'06_예약상품'!$D$5:$D$44,$C35)&amp;"건 · 패키지 "&amp;SUMPRODUCT(--ISNUMBER(SEARCH($C35,'05_패키지'!$C$5:$C$24)))&amp;"건")</f>
        <v/>
      </c>
    </row>
    <row r="36" customFormat="false" ht="19.5" hidden="false" customHeight="true" outlineLevel="0" collapsed="false">
      <c r="A36" s="39" t="n">
        <v>32</v>
      </c>
      <c r="B36" s="32"/>
      <c r="C36" s="32"/>
      <c r="D36" s="32"/>
      <c r="E36" s="40"/>
      <c r="F36" s="32"/>
      <c r="G36" s="32"/>
      <c r="H36" s="32"/>
      <c r="I36" s="32"/>
      <c r="J36" s="17" t="str">
        <f aca="false">IF($C36="","","예약상품 "&amp;COUNTIFS('06_예약상품'!$C$5:$C$44,"시술",'06_예약상품'!$D$5:$D$44,$C36)&amp;"건 · 패키지 "&amp;SUMPRODUCT(--ISNUMBER(SEARCH($C36,'05_패키지'!$C$5:$C$24)))&amp;"건")</f>
        <v/>
      </c>
    </row>
    <row r="37" customFormat="false" ht="19.5" hidden="false" customHeight="true" outlineLevel="0" collapsed="false">
      <c r="A37" s="39" t="n">
        <v>33</v>
      </c>
      <c r="B37" s="32"/>
      <c r="C37" s="32"/>
      <c r="D37" s="32"/>
      <c r="E37" s="40"/>
      <c r="F37" s="32"/>
      <c r="G37" s="32"/>
      <c r="H37" s="32"/>
      <c r="I37" s="32"/>
      <c r="J37" s="17" t="str">
        <f aca="false">IF($C37="","","예약상품 "&amp;COUNTIFS('06_예약상품'!$C$5:$C$44,"시술",'06_예약상품'!$D$5:$D$44,$C37)&amp;"건 · 패키지 "&amp;SUMPRODUCT(--ISNUMBER(SEARCH($C37,'05_패키지'!$C$5:$C$24)))&amp;"건")</f>
        <v/>
      </c>
    </row>
    <row r="38" customFormat="false" ht="19.5" hidden="false" customHeight="true" outlineLevel="0" collapsed="false">
      <c r="A38" s="39" t="n">
        <v>34</v>
      </c>
      <c r="B38" s="32"/>
      <c r="C38" s="32"/>
      <c r="D38" s="32"/>
      <c r="E38" s="40"/>
      <c r="F38" s="32"/>
      <c r="G38" s="32"/>
      <c r="H38" s="32"/>
      <c r="I38" s="32"/>
      <c r="J38" s="17" t="str">
        <f aca="false">IF($C38="","","예약상품 "&amp;COUNTIFS('06_예약상품'!$C$5:$C$44,"시술",'06_예약상품'!$D$5:$D$44,$C38)&amp;"건 · 패키지 "&amp;SUMPRODUCT(--ISNUMBER(SEARCH($C38,'05_패키지'!$C$5:$C$24)))&amp;"건")</f>
        <v/>
      </c>
    </row>
    <row r="39" customFormat="false" ht="19.5" hidden="false" customHeight="true" outlineLevel="0" collapsed="false">
      <c r="A39" s="39" t="n">
        <v>35</v>
      </c>
      <c r="B39" s="32"/>
      <c r="C39" s="32"/>
      <c r="D39" s="32"/>
      <c r="E39" s="40"/>
      <c r="F39" s="32"/>
      <c r="G39" s="32"/>
      <c r="H39" s="32"/>
      <c r="I39" s="32"/>
      <c r="J39" s="17" t="str">
        <f aca="false">IF($C39="","","예약상품 "&amp;COUNTIFS('06_예약상품'!$C$5:$C$44,"시술",'06_예약상품'!$D$5:$D$44,$C39)&amp;"건 · 패키지 "&amp;SUMPRODUCT(--ISNUMBER(SEARCH($C39,'05_패키지'!$C$5:$C$24)))&amp;"건")</f>
        <v/>
      </c>
    </row>
    <row r="40" customFormat="false" ht="19.5" hidden="false" customHeight="true" outlineLevel="0" collapsed="false">
      <c r="A40" s="39" t="n">
        <v>36</v>
      </c>
      <c r="B40" s="32"/>
      <c r="C40" s="32"/>
      <c r="D40" s="32"/>
      <c r="E40" s="40"/>
      <c r="F40" s="32"/>
      <c r="G40" s="32"/>
      <c r="H40" s="32"/>
      <c r="I40" s="32"/>
      <c r="J40" s="17" t="str">
        <f aca="false">IF($C40="","","예약상품 "&amp;COUNTIFS('06_예약상품'!$C$5:$C$44,"시술",'06_예약상품'!$D$5:$D$44,$C40)&amp;"건 · 패키지 "&amp;SUMPRODUCT(--ISNUMBER(SEARCH($C40,'05_패키지'!$C$5:$C$24)))&amp;"건")</f>
        <v/>
      </c>
    </row>
    <row r="41" customFormat="false" ht="19.5" hidden="false" customHeight="true" outlineLevel="0" collapsed="false">
      <c r="A41" s="39" t="n">
        <v>37</v>
      </c>
      <c r="B41" s="32"/>
      <c r="C41" s="32"/>
      <c r="D41" s="32"/>
      <c r="E41" s="40"/>
      <c r="F41" s="32"/>
      <c r="G41" s="32"/>
      <c r="H41" s="32"/>
      <c r="I41" s="32"/>
      <c r="J41" s="17" t="str">
        <f aca="false">IF($C41="","","예약상품 "&amp;COUNTIFS('06_예약상품'!$C$5:$C$44,"시술",'06_예약상품'!$D$5:$D$44,$C41)&amp;"건 · 패키지 "&amp;SUMPRODUCT(--ISNUMBER(SEARCH($C41,'05_패키지'!$C$5:$C$24)))&amp;"건")</f>
        <v/>
      </c>
    </row>
    <row r="42" customFormat="false" ht="19.5" hidden="false" customHeight="true" outlineLevel="0" collapsed="false">
      <c r="A42" s="39" t="n">
        <v>38</v>
      </c>
      <c r="B42" s="32"/>
      <c r="C42" s="32"/>
      <c r="D42" s="32"/>
      <c r="E42" s="40"/>
      <c r="F42" s="32"/>
      <c r="G42" s="32"/>
      <c r="H42" s="32"/>
      <c r="I42" s="32"/>
      <c r="J42" s="17" t="str">
        <f aca="false">IF($C42="","","예약상품 "&amp;COUNTIFS('06_예약상품'!$C$5:$C$44,"시술",'06_예약상품'!$D$5:$D$44,$C42)&amp;"건 · 패키지 "&amp;SUMPRODUCT(--ISNUMBER(SEARCH($C42,'05_패키지'!$C$5:$C$24)))&amp;"건")</f>
        <v/>
      </c>
    </row>
    <row r="43" customFormat="false" ht="19.5" hidden="false" customHeight="true" outlineLevel="0" collapsed="false">
      <c r="A43" s="39" t="n">
        <v>39</v>
      </c>
      <c r="B43" s="32"/>
      <c r="C43" s="32"/>
      <c r="D43" s="32"/>
      <c r="E43" s="40"/>
      <c r="F43" s="32"/>
      <c r="G43" s="32"/>
      <c r="H43" s="32"/>
      <c r="I43" s="32"/>
      <c r="J43" s="17" t="str">
        <f aca="false">IF($C43="","","예약상품 "&amp;COUNTIFS('06_예약상품'!$C$5:$C$44,"시술",'06_예약상품'!$D$5:$D$44,$C43)&amp;"건 · 패키지 "&amp;SUMPRODUCT(--ISNUMBER(SEARCH($C43,'05_패키지'!$C$5:$C$24)))&amp;"건")</f>
        <v/>
      </c>
    </row>
    <row r="44" customFormat="false" ht="19.5" hidden="false" customHeight="true" outlineLevel="0" collapsed="false">
      <c r="A44" s="39" t="n">
        <v>40</v>
      </c>
      <c r="B44" s="32"/>
      <c r="C44" s="32"/>
      <c r="D44" s="32"/>
      <c r="E44" s="40"/>
      <c r="F44" s="32"/>
      <c r="G44" s="32"/>
      <c r="H44" s="32"/>
      <c r="I44" s="32"/>
      <c r="J44" s="17" t="str">
        <f aca="false">IF($C44="","","예약상품 "&amp;COUNTIFS('06_예약상품'!$C$5:$C$44,"시술",'06_예약상품'!$D$5:$D$44,$C44)&amp;"건 · 패키지 "&amp;SUMPRODUCT(--ISNUMBER(SEARCH($C44,'05_패키지'!$C$5:$C$24)))&amp;"건")</f>
        <v/>
      </c>
    </row>
  </sheetData>
  <mergeCells count="2">
    <mergeCell ref="A1:J1"/>
    <mergeCell ref="A2:J2"/>
  </mergeCells>
  <dataValidations count="5">
    <dataValidation allowBlank="true" errorStyle="stop" operator="between" showDropDown="false" showErrorMessage="false" showInputMessage="false" sqref="B5:B44" type="list">
      <formula1>"페이스,바디,왁싱,두피,특수관리,기타"</formula1>
      <formula2>0</formula2>
    </dataValidation>
    <dataValidation allowBlank="true" errorStyle="stop" operator="between" showDropDown="false" showErrorMessage="false" showInputMessage="false" sqref="H5:H44" type="list">
      <formula1>"Y,N"</formula1>
      <formula2>0</formula2>
    </dataValidation>
    <dataValidation allowBlank="true" error="시술명은(는) 30자 이내로 입력해 주세요." errorStyle="stop" errorTitle="글자 수 초과" operator="lessThanOrEqual" showDropDown="false" showErrorMessage="false" showInputMessage="false" sqref="C5:C44" type="textLength">
      <formula1>30</formula1>
      <formula2>0</formula2>
    </dataValidation>
    <dataValidation allowBlank="true" error="가격 부가설명은(는) 96자 이내로 입력해 주세요." errorStyle="stop" errorTitle="글자 수 초과" operator="lessThanOrEqual" showDropDown="false" showErrorMessage="false" showInputMessage="false" sqref="F5:F44" type="textLength">
      <formula1>96</formula1>
      <formula2>0</formula2>
    </dataValidation>
    <dataValidation allowBlank="true" error="시술 설명은(는) 300자 이내로 입력해 주세요." errorStyle="stop" errorTitle="글자 수 초과" operator="lessThanOrEqual" showDropDown="false" showErrorMessage="false" showInputMessage="false" sqref="G5:G44" type="textLength">
      <formula1>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24"/>
  </cols>
  <sheetData>
    <row r="1" customFormat="false" ht="24" hidden="false" customHeight="true" outlineLevel="0" collapsed="false">
      <c r="A1" s="23" t="s">
        <v>226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30" hidden="false" customHeight="true" outlineLevel="0" collapsed="false">
      <c r="A2" s="41" t="s">
        <v>227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25.5" hidden="false" customHeight="true" outlineLevel="0" collapsed="false">
      <c r="A3" s="36" t="s">
        <v>211</v>
      </c>
      <c r="B3" s="14" t="s">
        <v>228</v>
      </c>
      <c r="C3" s="14" t="s">
        <v>229</v>
      </c>
      <c r="D3" s="14" t="s">
        <v>230</v>
      </c>
      <c r="E3" s="14" t="s">
        <v>231</v>
      </c>
      <c r="F3" s="14" t="s">
        <v>232</v>
      </c>
      <c r="G3" s="14" t="s">
        <v>233</v>
      </c>
      <c r="H3" s="14" t="s">
        <v>234</v>
      </c>
      <c r="I3" s="14" t="s">
        <v>235</v>
      </c>
      <c r="J3" s="14" t="s">
        <v>236</v>
      </c>
      <c r="K3" s="14" t="s">
        <v>220</v>
      </c>
    </row>
    <row r="4" customFormat="false" ht="21.75" hidden="false" customHeight="true" outlineLevel="0" collapsed="false">
      <c r="A4" s="28" t="s">
        <v>186</v>
      </c>
      <c r="B4" s="30" t="s">
        <v>237</v>
      </c>
      <c r="C4" s="30" t="s">
        <v>238</v>
      </c>
      <c r="D4" s="28" t="n">
        <v>5</v>
      </c>
      <c r="E4" s="37" t="n">
        <v>800000</v>
      </c>
      <c r="F4" s="42" t="n">
        <v>600000</v>
      </c>
      <c r="G4" s="43" t="n">
        <v>0.25</v>
      </c>
      <c r="H4" s="28" t="n">
        <v>450</v>
      </c>
      <c r="I4" s="29" t="s">
        <v>239</v>
      </c>
      <c r="J4" s="28" t="s">
        <v>240</v>
      </c>
      <c r="K4" s="28" t="s">
        <v>241</v>
      </c>
    </row>
    <row r="5" customFormat="false" ht="19.5" hidden="false" customHeight="true" outlineLevel="0" collapsed="false">
      <c r="A5" s="39" t="n">
        <v>1</v>
      </c>
      <c r="B5" s="32"/>
      <c r="C5" s="32"/>
      <c r="D5" s="32"/>
      <c r="E5" s="40"/>
      <c r="F5" s="40"/>
      <c r="G5" s="44" t="str">
        <f aca="false">IFERROR((E5-F5)/E5,"")</f>
        <v/>
      </c>
      <c r="H5" s="32"/>
      <c r="I5" s="32"/>
      <c r="J5" s="32"/>
      <c r="K5" s="17" t="str">
        <f aca="false">IF($B5="","","예약상품 "&amp;COUNTIFS('06_예약상품'!$C$5:$C$44,"패키지",'06_예약상품'!$D$5:$D$44,$B5)&amp;"건")</f>
        <v/>
      </c>
    </row>
    <row r="6" customFormat="false" ht="19.5" hidden="false" customHeight="true" outlineLevel="0" collapsed="false">
      <c r="A6" s="39" t="n">
        <v>2</v>
      </c>
      <c r="B6" s="32"/>
      <c r="C6" s="32"/>
      <c r="D6" s="32"/>
      <c r="E6" s="40"/>
      <c r="F6" s="40"/>
      <c r="G6" s="44" t="str">
        <f aca="false">IFERROR((E6-F6)/E6,"")</f>
        <v/>
      </c>
      <c r="H6" s="32"/>
      <c r="I6" s="32"/>
      <c r="J6" s="32"/>
      <c r="K6" s="17" t="str">
        <f aca="false">IF($B6="","","예약상품 "&amp;COUNTIFS('06_예약상품'!$C$5:$C$44,"패키지",'06_예약상품'!$D$5:$D$44,$B6)&amp;"건")</f>
        <v/>
      </c>
    </row>
    <row r="7" customFormat="false" ht="19.5" hidden="false" customHeight="true" outlineLevel="0" collapsed="false">
      <c r="A7" s="39" t="n">
        <v>3</v>
      </c>
      <c r="B7" s="32"/>
      <c r="C7" s="32"/>
      <c r="D7" s="32"/>
      <c r="E7" s="40"/>
      <c r="F7" s="40"/>
      <c r="G7" s="44" t="str">
        <f aca="false">IFERROR((E7-F7)/E7,"")</f>
        <v/>
      </c>
      <c r="H7" s="32"/>
      <c r="I7" s="32"/>
      <c r="J7" s="32"/>
      <c r="K7" s="17" t="str">
        <f aca="false">IF($B7="","","예약상품 "&amp;COUNTIFS('06_예약상품'!$C$5:$C$44,"패키지",'06_예약상품'!$D$5:$D$44,$B7)&amp;"건")</f>
        <v/>
      </c>
    </row>
    <row r="8" customFormat="false" ht="19.5" hidden="false" customHeight="true" outlineLevel="0" collapsed="false">
      <c r="A8" s="39" t="n">
        <v>4</v>
      </c>
      <c r="B8" s="32"/>
      <c r="C8" s="32"/>
      <c r="D8" s="32"/>
      <c r="E8" s="40"/>
      <c r="F8" s="40"/>
      <c r="G8" s="44" t="str">
        <f aca="false">IFERROR((E8-F8)/E8,"")</f>
        <v/>
      </c>
      <c r="H8" s="32"/>
      <c r="I8" s="32"/>
      <c r="J8" s="32"/>
      <c r="K8" s="17" t="str">
        <f aca="false">IF($B8="","","예약상품 "&amp;COUNTIFS('06_예약상품'!$C$5:$C$44,"패키지",'06_예약상품'!$D$5:$D$44,$B8)&amp;"건")</f>
        <v/>
      </c>
    </row>
    <row r="9" customFormat="false" ht="19.5" hidden="false" customHeight="true" outlineLevel="0" collapsed="false">
      <c r="A9" s="39" t="n">
        <v>5</v>
      </c>
      <c r="B9" s="32"/>
      <c r="C9" s="32"/>
      <c r="D9" s="32"/>
      <c r="E9" s="40"/>
      <c r="F9" s="40"/>
      <c r="G9" s="44" t="str">
        <f aca="false">IFERROR((E9-F9)/E9,"")</f>
        <v/>
      </c>
      <c r="H9" s="32"/>
      <c r="I9" s="32"/>
      <c r="J9" s="32"/>
      <c r="K9" s="17" t="str">
        <f aca="false">IF($B9="","","예약상품 "&amp;COUNTIFS('06_예약상품'!$C$5:$C$44,"패키지",'06_예약상품'!$D$5:$D$44,$B9)&amp;"건")</f>
        <v/>
      </c>
    </row>
    <row r="10" customFormat="false" ht="19.5" hidden="false" customHeight="true" outlineLevel="0" collapsed="false">
      <c r="A10" s="39" t="n">
        <v>6</v>
      </c>
      <c r="B10" s="32"/>
      <c r="C10" s="32"/>
      <c r="D10" s="32"/>
      <c r="E10" s="40"/>
      <c r="F10" s="40"/>
      <c r="G10" s="44" t="str">
        <f aca="false">IFERROR((E10-F10)/E10,"")</f>
        <v/>
      </c>
      <c r="H10" s="32"/>
      <c r="I10" s="32"/>
      <c r="J10" s="32"/>
      <c r="K10" s="17" t="str">
        <f aca="false">IF($B10="","","예약상품 "&amp;COUNTIFS('06_예약상품'!$C$5:$C$44,"패키지",'06_예약상품'!$D$5:$D$44,$B10)&amp;"건")</f>
        <v/>
      </c>
    </row>
    <row r="11" customFormat="false" ht="19.5" hidden="false" customHeight="true" outlineLevel="0" collapsed="false">
      <c r="A11" s="39" t="n">
        <v>7</v>
      </c>
      <c r="B11" s="32"/>
      <c r="C11" s="32"/>
      <c r="D11" s="32"/>
      <c r="E11" s="40"/>
      <c r="F11" s="40"/>
      <c r="G11" s="44" t="str">
        <f aca="false">IFERROR((E11-F11)/E11,"")</f>
        <v/>
      </c>
      <c r="H11" s="32"/>
      <c r="I11" s="32"/>
      <c r="J11" s="32"/>
      <c r="K11" s="17" t="str">
        <f aca="false">IF($B11="","","예약상품 "&amp;COUNTIFS('06_예약상품'!$C$5:$C$44,"패키지",'06_예약상품'!$D$5:$D$44,$B11)&amp;"건")</f>
        <v/>
      </c>
    </row>
    <row r="12" customFormat="false" ht="19.5" hidden="false" customHeight="true" outlineLevel="0" collapsed="false">
      <c r="A12" s="39" t="n">
        <v>8</v>
      </c>
      <c r="B12" s="32"/>
      <c r="C12" s="32"/>
      <c r="D12" s="32"/>
      <c r="E12" s="40"/>
      <c r="F12" s="40"/>
      <c r="G12" s="44" t="str">
        <f aca="false">IFERROR((E12-F12)/E12,"")</f>
        <v/>
      </c>
      <c r="H12" s="32"/>
      <c r="I12" s="32"/>
      <c r="J12" s="32"/>
      <c r="K12" s="17" t="str">
        <f aca="false">IF($B12="","","예약상품 "&amp;COUNTIFS('06_예약상품'!$C$5:$C$44,"패키지",'06_예약상품'!$D$5:$D$44,$B12)&amp;"건")</f>
        <v/>
      </c>
    </row>
    <row r="13" customFormat="false" ht="19.5" hidden="false" customHeight="true" outlineLevel="0" collapsed="false">
      <c r="A13" s="39" t="n">
        <v>9</v>
      </c>
      <c r="B13" s="32"/>
      <c r="C13" s="32"/>
      <c r="D13" s="32"/>
      <c r="E13" s="40"/>
      <c r="F13" s="40"/>
      <c r="G13" s="44" t="str">
        <f aca="false">IFERROR((E13-F13)/E13,"")</f>
        <v/>
      </c>
      <c r="H13" s="32"/>
      <c r="I13" s="32"/>
      <c r="J13" s="32"/>
      <c r="K13" s="17" t="str">
        <f aca="false">IF($B13="","","예약상품 "&amp;COUNTIFS('06_예약상품'!$C$5:$C$44,"패키지",'06_예약상품'!$D$5:$D$44,$B13)&amp;"건")</f>
        <v/>
      </c>
    </row>
    <row r="14" customFormat="false" ht="19.5" hidden="false" customHeight="true" outlineLevel="0" collapsed="false">
      <c r="A14" s="39" t="n">
        <v>10</v>
      </c>
      <c r="B14" s="32"/>
      <c r="C14" s="32"/>
      <c r="D14" s="32"/>
      <c r="E14" s="40"/>
      <c r="F14" s="40"/>
      <c r="G14" s="44" t="str">
        <f aca="false">IFERROR((E14-F14)/E14,"")</f>
        <v/>
      </c>
      <c r="H14" s="32"/>
      <c r="I14" s="32"/>
      <c r="J14" s="32"/>
      <c r="K14" s="17" t="str">
        <f aca="false">IF($B14="","","예약상품 "&amp;COUNTIFS('06_예약상품'!$C$5:$C$44,"패키지",'06_예약상품'!$D$5:$D$44,$B14)&amp;"건")</f>
        <v/>
      </c>
    </row>
    <row r="15" customFormat="false" ht="19.5" hidden="false" customHeight="true" outlineLevel="0" collapsed="false">
      <c r="A15" s="39" t="n">
        <v>11</v>
      </c>
      <c r="B15" s="32"/>
      <c r="C15" s="32"/>
      <c r="D15" s="32"/>
      <c r="E15" s="40"/>
      <c r="F15" s="40"/>
      <c r="G15" s="44" t="str">
        <f aca="false">IFERROR((E15-F15)/E15,"")</f>
        <v/>
      </c>
      <c r="H15" s="32"/>
      <c r="I15" s="32"/>
      <c r="J15" s="32"/>
      <c r="K15" s="17" t="str">
        <f aca="false">IF($B15="","","예약상품 "&amp;COUNTIFS('06_예약상품'!$C$5:$C$44,"패키지",'06_예약상품'!$D$5:$D$44,$B15)&amp;"건")</f>
        <v/>
      </c>
    </row>
    <row r="16" customFormat="false" ht="19.5" hidden="false" customHeight="true" outlineLevel="0" collapsed="false">
      <c r="A16" s="39" t="n">
        <v>12</v>
      </c>
      <c r="B16" s="32"/>
      <c r="C16" s="32"/>
      <c r="D16" s="32"/>
      <c r="E16" s="40"/>
      <c r="F16" s="40"/>
      <c r="G16" s="44" t="str">
        <f aca="false">IFERROR((E16-F16)/E16,"")</f>
        <v/>
      </c>
      <c r="H16" s="32"/>
      <c r="I16" s="32"/>
      <c r="J16" s="32"/>
      <c r="K16" s="17" t="str">
        <f aca="false">IF($B16="","","예약상품 "&amp;COUNTIFS('06_예약상품'!$C$5:$C$44,"패키지",'06_예약상품'!$D$5:$D$44,$B16)&amp;"건")</f>
        <v/>
      </c>
    </row>
    <row r="17" customFormat="false" ht="19.5" hidden="false" customHeight="true" outlineLevel="0" collapsed="false">
      <c r="A17" s="39" t="n">
        <v>13</v>
      </c>
      <c r="B17" s="32"/>
      <c r="C17" s="32"/>
      <c r="D17" s="32"/>
      <c r="E17" s="40"/>
      <c r="F17" s="40"/>
      <c r="G17" s="44" t="str">
        <f aca="false">IFERROR((E17-F17)/E17,"")</f>
        <v/>
      </c>
      <c r="H17" s="32"/>
      <c r="I17" s="32"/>
      <c r="J17" s="32"/>
      <c r="K17" s="17" t="str">
        <f aca="false">IF($B17="","","예약상품 "&amp;COUNTIFS('06_예약상품'!$C$5:$C$44,"패키지",'06_예약상품'!$D$5:$D$44,$B17)&amp;"건")</f>
        <v/>
      </c>
    </row>
    <row r="18" customFormat="false" ht="19.5" hidden="false" customHeight="true" outlineLevel="0" collapsed="false">
      <c r="A18" s="39" t="n">
        <v>14</v>
      </c>
      <c r="B18" s="32"/>
      <c r="C18" s="32"/>
      <c r="D18" s="32"/>
      <c r="E18" s="40"/>
      <c r="F18" s="40"/>
      <c r="G18" s="44" t="str">
        <f aca="false">IFERROR((E18-F18)/E18,"")</f>
        <v/>
      </c>
      <c r="H18" s="32"/>
      <c r="I18" s="32"/>
      <c r="J18" s="32"/>
      <c r="K18" s="17" t="str">
        <f aca="false">IF($B18="","","예약상품 "&amp;COUNTIFS('06_예약상품'!$C$5:$C$44,"패키지",'06_예약상품'!$D$5:$D$44,$B18)&amp;"건")</f>
        <v/>
      </c>
    </row>
    <row r="19" customFormat="false" ht="19.5" hidden="false" customHeight="true" outlineLevel="0" collapsed="false">
      <c r="A19" s="39" t="n">
        <v>15</v>
      </c>
      <c r="B19" s="32"/>
      <c r="C19" s="32"/>
      <c r="D19" s="32"/>
      <c r="E19" s="40"/>
      <c r="F19" s="40"/>
      <c r="G19" s="44" t="str">
        <f aca="false">IFERROR((E19-F19)/E19,"")</f>
        <v/>
      </c>
      <c r="H19" s="32"/>
      <c r="I19" s="32"/>
      <c r="J19" s="32"/>
      <c r="K19" s="17" t="str">
        <f aca="false">IF($B19="","","예약상품 "&amp;COUNTIFS('06_예약상품'!$C$5:$C$44,"패키지",'06_예약상품'!$D$5:$D$44,$B19)&amp;"건")</f>
        <v/>
      </c>
    </row>
    <row r="20" customFormat="false" ht="19.5" hidden="false" customHeight="true" outlineLevel="0" collapsed="false">
      <c r="A20" s="39" t="n">
        <v>16</v>
      </c>
      <c r="B20" s="32"/>
      <c r="C20" s="32"/>
      <c r="D20" s="32"/>
      <c r="E20" s="40"/>
      <c r="F20" s="40"/>
      <c r="G20" s="44" t="str">
        <f aca="false">IFERROR((E20-F20)/E20,"")</f>
        <v/>
      </c>
      <c r="H20" s="32"/>
      <c r="I20" s="32"/>
      <c r="J20" s="32"/>
      <c r="K20" s="17" t="str">
        <f aca="false">IF($B20="","","예약상품 "&amp;COUNTIFS('06_예약상품'!$C$5:$C$44,"패키지",'06_예약상품'!$D$5:$D$44,$B20)&amp;"건")</f>
        <v/>
      </c>
    </row>
    <row r="21" customFormat="false" ht="19.5" hidden="false" customHeight="true" outlineLevel="0" collapsed="false">
      <c r="A21" s="39" t="n">
        <v>17</v>
      </c>
      <c r="B21" s="32"/>
      <c r="C21" s="32"/>
      <c r="D21" s="32"/>
      <c r="E21" s="40"/>
      <c r="F21" s="40"/>
      <c r="G21" s="44" t="str">
        <f aca="false">IFERROR((E21-F21)/E21,"")</f>
        <v/>
      </c>
      <c r="H21" s="32"/>
      <c r="I21" s="32"/>
      <c r="J21" s="32"/>
      <c r="K21" s="17" t="str">
        <f aca="false">IF($B21="","","예약상품 "&amp;COUNTIFS('06_예약상품'!$C$5:$C$44,"패키지",'06_예약상품'!$D$5:$D$44,$B21)&amp;"건")</f>
        <v/>
      </c>
    </row>
    <row r="22" customFormat="false" ht="19.5" hidden="false" customHeight="true" outlineLevel="0" collapsed="false">
      <c r="A22" s="39" t="n">
        <v>18</v>
      </c>
      <c r="B22" s="32"/>
      <c r="C22" s="32"/>
      <c r="D22" s="32"/>
      <c r="E22" s="40"/>
      <c r="F22" s="40"/>
      <c r="G22" s="44" t="str">
        <f aca="false">IFERROR((E22-F22)/E22,"")</f>
        <v/>
      </c>
      <c r="H22" s="32"/>
      <c r="I22" s="32"/>
      <c r="J22" s="32"/>
      <c r="K22" s="17" t="str">
        <f aca="false">IF($B22="","","예약상품 "&amp;COUNTIFS('06_예약상품'!$C$5:$C$44,"패키지",'06_예약상품'!$D$5:$D$44,$B22)&amp;"건")</f>
        <v/>
      </c>
    </row>
    <row r="23" customFormat="false" ht="19.5" hidden="false" customHeight="true" outlineLevel="0" collapsed="false">
      <c r="A23" s="39" t="n">
        <v>19</v>
      </c>
      <c r="B23" s="32"/>
      <c r="C23" s="32"/>
      <c r="D23" s="32"/>
      <c r="E23" s="40"/>
      <c r="F23" s="40"/>
      <c r="G23" s="44" t="str">
        <f aca="false">IFERROR((E23-F23)/E23,"")</f>
        <v/>
      </c>
      <c r="H23" s="32"/>
      <c r="I23" s="32"/>
      <c r="J23" s="32"/>
      <c r="K23" s="17" t="str">
        <f aca="false">IF($B23="","","예약상품 "&amp;COUNTIFS('06_예약상품'!$C$5:$C$44,"패키지",'06_예약상품'!$D$5:$D$44,$B23)&amp;"건")</f>
        <v/>
      </c>
    </row>
    <row r="24" customFormat="false" ht="19.5" hidden="false" customHeight="true" outlineLevel="0" collapsed="false">
      <c r="A24" s="39" t="n">
        <v>20</v>
      </c>
      <c r="B24" s="32"/>
      <c r="C24" s="32"/>
      <c r="D24" s="32"/>
      <c r="E24" s="40"/>
      <c r="F24" s="40"/>
      <c r="G24" s="44" t="str">
        <f aca="false">IFERROR((E24-F24)/E24,"")</f>
        <v/>
      </c>
      <c r="H24" s="32"/>
      <c r="I24" s="32"/>
      <c r="J24" s="32"/>
      <c r="K24" s="17" t="str">
        <f aca="false">IF($B24="","","예약상품 "&amp;COUNTIFS('06_예약상품'!$C$5:$C$44,"패키지",'06_예약상품'!$D$5:$D$44,$B24)&amp;"건")</f>
        <v/>
      </c>
    </row>
  </sheetData>
  <mergeCells count="2">
    <mergeCell ref="A1:K1"/>
    <mergeCell ref="A2:K2"/>
  </mergeCells>
  <dataValidations count="3">
    <dataValidation allowBlank="true" errorStyle="stop" operator="between" showDropDown="false" showErrorMessage="false" showInputMessage="false" sqref="I5:I24" type="list">
      <formula1>"1개월,3개월,6개월,1년,무기한"</formula1>
      <formula2>0</formula2>
    </dataValidation>
    <dataValidation allowBlank="true" error="패키지명은(는) 30자 이내로 입력해 주세요." errorStyle="stop" errorTitle="글자 수 초과" operator="lessThanOrEqual" showDropDown="false" showErrorMessage="false" showInputMessage="false" sqref="B5:B24" type="textLength">
      <formula1>30</formula1>
      <formula2>0</formula2>
    </dataValidation>
    <dataValidation allowBlank="true" error="설명은(는) 300자 이내로 입력해 주세요." errorStyle="stop" errorTitle="글자 수 초과" operator="lessThanOrEqual" showDropDown="false" showErrorMessage="false" showInputMessage="false" sqref="J5:J24" type="textLength">
      <formula1>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14"/>
  </cols>
  <sheetData>
    <row r="1" customFormat="false" ht="24" hidden="false" customHeight="true" outlineLevel="0" collapsed="false">
      <c r="A1" s="23" t="s">
        <v>242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customFormat="false" ht="30" hidden="false" customHeight="true" outlineLevel="0" collapsed="false">
      <c r="A2" s="2" t="s">
        <v>243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5.5" hidden="false" customHeight="true" outlineLevel="0" collapsed="false">
      <c r="A3" s="36" t="s">
        <v>211</v>
      </c>
      <c r="B3" s="14" t="s">
        <v>244</v>
      </c>
      <c r="C3" s="14" t="s">
        <v>245</v>
      </c>
      <c r="D3" s="14" t="s">
        <v>246</v>
      </c>
      <c r="E3" s="14" t="s">
        <v>247</v>
      </c>
      <c r="F3" s="14" t="s">
        <v>248</v>
      </c>
      <c r="G3" s="14" t="s">
        <v>215</v>
      </c>
      <c r="H3" s="14" t="s">
        <v>232</v>
      </c>
      <c r="I3" s="14" t="s">
        <v>233</v>
      </c>
      <c r="J3" s="14" t="s">
        <v>249</v>
      </c>
      <c r="K3" s="36" t="s">
        <v>250</v>
      </c>
      <c r="L3" s="14" t="s">
        <v>251</v>
      </c>
      <c r="M3" s="14" t="s">
        <v>252</v>
      </c>
      <c r="N3" s="14" t="s">
        <v>214</v>
      </c>
      <c r="O3" s="14" t="s">
        <v>253</v>
      </c>
      <c r="P3" s="14" t="s">
        <v>254</v>
      </c>
    </row>
    <row r="4" customFormat="false" ht="21.75" hidden="false" customHeight="true" outlineLevel="0" collapsed="false">
      <c r="A4" s="28" t="s">
        <v>186</v>
      </c>
      <c r="B4" s="30" t="s">
        <v>255</v>
      </c>
      <c r="C4" s="30" t="s">
        <v>256</v>
      </c>
      <c r="D4" s="28" t="s">
        <v>237</v>
      </c>
      <c r="E4" s="28" t="s">
        <v>238</v>
      </c>
      <c r="F4" s="30" t="s">
        <v>257</v>
      </c>
      <c r="G4" s="42" t="n">
        <v>800000</v>
      </c>
      <c r="H4" s="37" t="n">
        <v>300000</v>
      </c>
      <c r="I4" s="45" t="n">
        <v>0.625</v>
      </c>
      <c r="J4" s="28" t="s">
        <v>258</v>
      </c>
      <c r="K4" s="29" t="s">
        <v>259</v>
      </c>
      <c r="L4" s="28" t="s">
        <v>260</v>
      </c>
      <c r="M4" s="28" t="s">
        <v>260</v>
      </c>
      <c r="N4" s="28" t="n">
        <v>90</v>
      </c>
      <c r="O4" s="37" t="n">
        <v>30000</v>
      </c>
      <c r="P4" s="28" t="n">
        <v>2</v>
      </c>
    </row>
    <row r="5" customFormat="false" ht="19.5" hidden="false" customHeight="true" outlineLevel="0" collapsed="false">
      <c r="A5" s="39" t="n">
        <v>1</v>
      </c>
      <c r="B5" s="32"/>
      <c r="C5" s="32"/>
      <c r="D5" s="32"/>
      <c r="E5" s="17" t="str">
        <f aca="false">IF($D5="","",IF($C5="시술",$D5,IFERROR(INDEX('05_패키지'!$C$5:$C$24,MATCH($D5,'05_패키지'!$B$5:$B$24,0)),"⚠ 05_패키지에서 못 찾음")))</f>
        <v/>
      </c>
      <c r="F5" s="32"/>
      <c r="G5" s="40"/>
      <c r="H5" s="40"/>
      <c r="I5" s="44" t="str">
        <f aca="false">IFERROR((G5-H5)/G5,"")</f>
        <v/>
      </c>
      <c r="J5" s="32"/>
      <c r="K5" s="32"/>
      <c r="L5" s="32"/>
      <c r="M5" s="32"/>
      <c r="N5" s="32"/>
      <c r="O5" s="40"/>
      <c r="P5" s="32"/>
    </row>
    <row r="6" customFormat="false" ht="19.5" hidden="false" customHeight="true" outlineLevel="0" collapsed="false">
      <c r="A6" s="39" t="n">
        <v>2</v>
      </c>
      <c r="B6" s="32"/>
      <c r="C6" s="32"/>
      <c r="D6" s="32"/>
      <c r="E6" s="17" t="str">
        <f aca="false">IF($D6="","",IF($C6="시술",$D6,IFERROR(INDEX('05_패키지'!$C$5:$C$24,MATCH($D6,'05_패키지'!$B$5:$B$24,0)),"⚠ 05_패키지에서 못 찾음")))</f>
        <v/>
      </c>
      <c r="F6" s="32"/>
      <c r="G6" s="40"/>
      <c r="H6" s="40"/>
      <c r="I6" s="44" t="str">
        <f aca="false">IFERROR((G6-H6)/G6,"")</f>
        <v/>
      </c>
      <c r="J6" s="32"/>
      <c r="K6" s="32"/>
      <c r="L6" s="32"/>
      <c r="M6" s="32"/>
      <c r="N6" s="32"/>
      <c r="O6" s="40"/>
      <c r="P6" s="32"/>
    </row>
    <row r="7" customFormat="false" ht="19.5" hidden="false" customHeight="true" outlineLevel="0" collapsed="false">
      <c r="A7" s="39" t="n">
        <v>3</v>
      </c>
      <c r="B7" s="32"/>
      <c r="C7" s="32"/>
      <c r="D7" s="32"/>
      <c r="E7" s="17" t="str">
        <f aca="false">IF($D7="","",IF($C7="시술",$D7,IFERROR(INDEX('05_패키지'!$C$5:$C$24,MATCH($D7,'05_패키지'!$B$5:$B$24,0)),"⚠ 05_패키지에서 못 찾음")))</f>
        <v/>
      </c>
      <c r="F7" s="32"/>
      <c r="G7" s="40"/>
      <c r="H7" s="40"/>
      <c r="I7" s="44" t="str">
        <f aca="false">IFERROR((G7-H7)/G7,"")</f>
        <v/>
      </c>
      <c r="J7" s="32"/>
      <c r="K7" s="32"/>
      <c r="L7" s="32"/>
      <c r="M7" s="32"/>
      <c r="N7" s="32"/>
      <c r="O7" s="40"/>
      <c r="P7" s="32"/>
    </row>
    <row r="8" customFormat="false" ht="19.5" hidden="false" customHeight="true" outlineLevel="0" collapsed="false">
      <c r="A8" s="39" t="n">
        <v>4</v>
      </c>
      <c r="B8" s="32"/>
      <c r="C8" s="32"/>
      <c r="D8" s="32"/>
      <c r="E8" s="17" t="str">
        <f aca="false">IF($D8="","",IF($C8="시술",$D8,IFERROR(INDEX('05_패키지'!$C$5:$C$24,MATCH($D8,'05_패키지'!$B$5:$B$24,0)),"⚠ 05_패키지에서 못 찾음")))</f>
        <v/>
      </c>
      <c r="F8" s="32"/>
      <c r="G8" s="40"/>
      <c r="H8" s="40"/>
      <c r="I8" s="44" t="str">
        <f aca="false">IFERROR((G8-H8)/G8,"")</f>
        <v/>
      </c>
      <c r="J8" s="32"/>
      <c r="K8" s="32"/>
      <c r="L8" s="32"/>
      <c r="M8" s="32"/>
      <c r="N8" s="32"/>
      <c r="O8" s="40"/>
      <c r="P8" s="32"/>
    </row>
    <row r="9" customFormat="false" ht="19.5" hidden="false" customHeight="true" outlineLevel="0" collapsed="false">
      <c r="A9" s="39" t="n">
        <v>5</v>
      </c>
      <c r="B9" s="32"/>
      <c r="C9" s="32"/>
      <c r="D9" s="32"/>
      <c r="E9" s="17" t="str">
        <f aca="false">IF($D9="","",IF($C9="시술",$D9,IFERROR(INDEX('05_패키지'!$C$5:$C$24,MATCH($D9,'05_패키지'!$B$5:$B$24,0)),"⚠ 05_패키지에서 못 찾음")))</f>
        <v/>
      </c>
      <c r="F9" s="32"/>
      <c r="G9" s="40"/>
      <c r="H9" s="40"/>
      <c r="I9" s="44" t="str">
        <f aca="false">IFERROR((G9-H9)/G9,"")</f>
        <v/>
      </c>
      <c r="J9" s="32"/>
      <c r="K9" s="32"/>
      <c r="L9" s="32"/>
      <c r="M9" s="32"/>
      <c r="N9" s="32"/>
      <c r="O9" s="40"/>
      <c r="P9" s="32"/>
    </row>
    <row r="10" customFormat="false" ht="19.5" hidden="false" customHeight="true" outlineLevel="0" collapsed="false">
      <c r="A10" s="39" t="n">
        <v>6</v>
      </c>
      <c r="B10" s="32"/>
      <c r="C10" s="32"/>
      <c r="D10" s="32"/>
      <c r="E10" s="17" t="str">
        <f aca="false">IF($D10="","",IF($C10="시술",$D10,IFERROR(INDEX('05_패키지'!$C$5:$C$24,MATCH($D10,'05_패키지'!$B$5:$B$24,0)),"⚠ 05_패키지에서 못 찾음")))</f>
        <v/>
      </c>
      <c r="F10" s="32"/>
      <c r="G10" s="40"/>
      <c r="H10" s="40"/>
      <c r="I10" s="44" t="str">
        <f aca="false">IFERROR((G10-H10)/G10,"")</f>
        <v/>
      </c>
      <c r="J10" s="32"/>
      <c r="K10" s="32"/>
      <c r="L10" s="32"/>
      <c r="M10" s="32"/>
      <c r="N10" s="32"/>
      <c r="O10" s="40"/>
      <c r="P10" s="32"/>
    </row>
    <row r="11" customFormat="false" ht="19.5" hidden="false" customHeight="true" outlineLevel="0" collapsed="false">
      <c r="A11" s="39" t="n">
        <v>7</v>
      </c>
      <c r="B11" s="32"/>
      <c r="C11" s="32"/>
      <c r="D11" s="32"/>
      <c r="E11" s="17" t="str">
        <f aca="false">IF($D11="","",IF($C11="시술",$D11,IFERROR(INDEX('05_패키지'!$C$5:$C$24,MATCH($D11,'05_패키지'!$B$5:$B$24,0)),"⚠ 05_패키지에서 못 찾음")))</f>
        <v/>
      </c>
      <c r="F11" s="32"/>
      <c r="G11" s="40"/>
      <c r="H11" s="40"/>
      <c r="I11" s="44" t="str">
        <f aca="false">IFERROR((G11-H11)/G11,"")</f>
        <v/>
      </c>
      <c r="J11" s="32"/>
      <c r="K11" s="32"/>
      <c r="L11" s="32"/>
      <c r="M11" s="32"/>
      <c r="N11" s="32"/>
      <c r="O11" s="40"/>
      <c r="P11" s="32"/>
    </row>
    <row r="12" customFormat="false" ht="19.5" hidden="false" customHeight="true" outlineLevel="0" collapsed="false">
      <c r="A12" s="39" t="n">
        <v>8</v>
      </c>
      <c r="B12" s="32"/>
      <c r="C12" s="32"/>
      <c r="D12" s="32"/>
      <c r="E12" s="17" t="str">
        <f aca="false">IF($D12="","",IF($C12="시술",$D12,IFERROR(INDEX('05_패키지'!$C$5:$C$24,MATCH($D12,'05_패키지'!$B$5:$B$24,0)),"⚠ 05_패키지에서 못 찾음")))</f>
        <v/>
      </c>
      <c r="F12" s="32"/>
      <c r="G12" s="40"/>
      <c r="H12" s="40"/>
      <c r="I12" s="44" t="str">
        <f aca="false">IFERROR((G12-H12)/G12,"")</f>
        <v/>
      </c>
      <c r="J12" s="32"/>
      <c r="K12" s="32"/>
      <c r="L12" s="32"/>
      <c r="M12" s="32"/>
      <c r="N12" s="32"/>
      <c r="O12" s="40"/>
      <c r="P12" s="32"/>
    </row>
    <row r="13" customFormat="false" ht="19.5" hidden="false" customHeight="true" outlineLevel="0" collapsed="false">
      <c r="A13" s="39" t="n">
        <v>9</v>
      </c>
      <c r="B13" s="32"/>
      <c r="C13" s="32"/>
      <c r="D13" s="32"/>
      <c r="E13" s="17" t="str">
        <f aca="false">IF($D13="","",IF($C13="시술",$D13,IFERROR(INDEX('05_패키지'!$C$5:$C$24,MATCH($D13,'05_패키지'!$B$5:$B$24,0)),"⚠ 05_패키지에서 못 찾음")))</f>
        <v/>
      </c>
      <c r="F13" s="32"/>
      <c r="G13" s="40"/>
      <c r="H13" s="40"/>
      <c r="I13" s="44" t="str">
        <f aca="false">IFERROR((G13-H13)/G13,"")</f>
        <v/>
      </c>
      <c r="J13" s="32"/>
      <c r="K13" s="32"/>
      <c r="L13" s="32"/>
      <c r="M13" s="32"/>
      <c r="N13" s="32"/>
      <c r="O13" s="40"/>
      <c r="P13" s="32"/>
    </row>
    <row r="14" customFormat="false" ht="19.5" hidden="false" customHeight="true" outlineLevel="0" collapsed="false">
      <c r="A14" s="39" t="n">
        <v>10</v>
      </c>
      <c r="B14" s="32"/>
      <c r="C14" s="32"/>
      <c r="D14" s="32"/>
      <c r="E14" s="17" t="str">
        <f aca="false">IF($D14="","",IF($C14="시술",$D14,IFERROR(INDEX('05_패키지'!$C$5:$C$24,MATCH($D14,'05_패키지'!$B$5:$B$24,0)),"⚠ 05_패키지에서 못 찾음")))</f>
        <v/>
      </c>
      <c r="F14" s="32"/>
      <c r="G14" s="40"/>
      <c r="H14" s="40"/>
      <c r="I14" s="44" t="str">
        <f aca="false">IFERROR((G14-H14)/G14,"")</f>
        <v/>
      </c>
      <c r="J14" s="32"/>
      <c r="K14" s="32"/>
      <c r="L14" s="32"/>
      <c r="M14" s="32"/>
      <c r="N14" s="32"/>
      <c r="O14" s="40"/>
      <c r="P14" s="32"/>
    </row>
    <row r="15" customFormat="false" ht="19.5" hidden="false" customHeight="true" outlineLevel="0" collapsed="false">
      <c r="A15" s="39" t="n">
        <v>11</v>
      </c>
      <c r="B15" s="32"/>
      <c r="C15" s="32"/>
      <c r="D15" s="32"/>
      <c r="E15" s="17" t="str">
        <f aca="false">IF($D15="","",IF($C15="시술",$D15,IFERROR(INDEX('05_패키지'!$C$5:$C$24,MATCH($D15,'05_패키지'!$B$5:$B$24,0)),"⚠ 05_패키지에서 못 찾음")))</f>
        <v/>
      </c>
      <c r="F15" s="32"/>
      <c r="G15" s="40"/>
      <c r="H15" s="40"/>
      <c r="I15" s="44" t="str">
        <f aca="false">IFERROR((G15-H15)/G15,"")</f>
        <v/>
      </c>
      <c r="J15" s="32"/>
      <c r="K15" s="32"/>
      <c r="L15" s="32"/>
      <c r="M15" s="32"/>
      <c r="N15" s="32"/>
      <c r="O15" s="40"/>
      <c r="P15" s="32"/>
    </row>
    <row r="16" customFormat="false" ht="19.5" hidden="false" customHeight="true" outlineLevel="0" collapsed="false">
      <c r="A16" s="39" t="n">
        <v>12</v>
      </c>
      <c r="B16" s="32"/>
      <c r="C16" s="32"/>
      <c r="D16" s="32"/>
      <c r="E16" s="17" t="str">
        <f aca="false">IF($D16="","",IF($C16="시술",$D16,IFERROR(INDEX('05_패키지'!$C$5:$C$24,MATCH($D16,'05_패키지'!$B$5:$B$24,0)),"⚠ 05_패키지에서 못 찾음")))</f>
        <v/>
      </c>
      <c r="F16" s="32"/>
      <c r="G16" s="40"/>
      <c r="H16" s="40"/>
      <c r="I16" s="44" t="str">
        <f aca="false">IFERROR((G16-H16)/G16,"")</f>
        <v/>
      </c>
      <c r="J16" s="32"/>
      <c r="K16" s="32"/>
      <c r="L16" s="32"/>
      <c r="M16" s="32"/>
      <c r="N16" s="32"/>
      <c r="O16" s="40"/>
      <c r="P16" s="32"/>
    </row>
    <row r="17" customFormat="false" ht="19.5" hidden="false" customHeight="true" outlineLevel="0" collapsed="false">
      <c r="A17" s="39" t="n">
        <v>13</v>
      </c>
      <c r="B17" s="32"/>
      <c r="C17" s="32"/>
      <c r="D17" s="32"/>
      <c r="E17" s="17" t="str">
        <f aca="false">IF($D17="","",IF($C17="시술",$D17,IFERROR(INDEX('05_패키지'!$C$5:$C$24,MATCH($D17,'05_패키지'!$B$5:$B$24,0)),"⚠ 05_패키지에서 못 찾음")))</f>
        <v/>
      </c>
      <c r="F17" s="32"/>
      <c r="G17" s="40"/>
      <c r="H17" s="40"/>
      <c r="I17" s="44" t="str">
        <f aca="false">IFERROR((G17-H17)/G17,"")</f>
        <v/>
      </c>
      <c r="J17" s="32"/>
      <c r="K17" s="32"/>
      <c r="L17" s="32"/>
      <c r="M17" s="32"/>
      <c r="N17" s="32"/>
      <c r="O17" s="40"/>
      <c r="P17" s="32"/>
    </row>
    <row r="18" customFormat="false" ht="19.5" hidden="false" customHeight="true" outlineLevel="0" collapsed="false">
      <c r="A18" s="39" t="n">
        <v>14</v>
      </c>
      <c r="B18" s="32"/>
      <c r="C18" s="32"/>
      <c r="D18" s="32"/>
      <c r="E18" s="17" t="str">
        <f aca="false">IF($D18="","",IF($C18="시술",$D18,IFERROR(INDEX('05_패키지'!$C$5:$C$24,MATCH($D18,'05_패키지'!$B$5:$B$24,0)),"⚠ 05_패키지에서 못 찾음")))</f>
        <v/>
      </c>
      <c r="F18" s="32"/>
      <c r="G18" s="40"/>
      <c r="H18" s="40"/>
      <c r="I18" s="44" t="str">
        <f aca="false">IFERROR((G18-H18)/G18,"")</f>
        <v/>
      </c>
      <c r="J18" s="32"/>
      <c r="K18" s="32"/>
      <c r="L18" s="32"/>
      <c r="M18" s="32"/>
      <c r="N18" s="32"/>
      <c r="O18" s="40"/>
      <c r="P18" s="32"/>
    </row>
    <row r="19" customFormat="false" ht="19.5" hidden="false" customHeight="true" outlineLevel="0" collapsed="false">
      <c r="A19" s="39" t="n">
        <v>15</v>
      </c>
      <c r="B19" s="32"/>
      <c r="C19" s="32"/>
      <c r="D19" s="32"/>
      <c r="E19" s="17" t="str">
        <f aca="false">IF($D19="","",IF($C19="시술",$D19,IFERROR(INDEX('05_패키지'!$C$5:$C$24,MATCH($D19,'05_패키지'!$B$5:$B$24,0)),"⚠ 05_패키지에서 못 찾음")))</f>
        <v/>
      </c>
      <c r="F19" s="32"/>
      <c r="G19" s="40"/>
      <c r="H19" s="40"/>
      <c r="I19" s="44" t="str">
        <f aca="false">IFERROR((G19-H19)/G19,"")</f>
        <v/>
      </c>
      <c r="J19" s="32"/>
      <c r="K19" s="32"/>
      <c r="L19" s="32"/>
      <c r="M19" s="32"/>
      <c r="N19" s="32"/>
      <c r="O19" s="40"/>
      <c r="P19" s="32"/>
    </row>
    <row r="20" customFormat="false" ht="19.5" hidden="false" customHeight="true" outlineLevel="0" collapsed="false">
      <c r="A20" s="39" t="n">
        <v>16</v>
      </c>
      <c r="B20" s="32"/>
      <c r="C20" s="32"/>
      <c r="D20" s="32"/>
      <c r="E20" s="17" t="str">
        <f aca="false">IF($D20="","",IF($C20="시술",$D20,IFERROR(INDEX('05_패키지'!$C$5:$C$24,MATCH($D20,'05_패키지'!$B$5:$B$24,0)),"⚠ 05_패키지에서 못 찾음")))</f>
        <v/>
      </c>
      <c r="F20" s="32"/>
      <c r="G20" s="40"/>
      <c r="H20" s="40"/>
      <c r="I20" s="44" t="str">
        <f aca="false">IFERROR((G20-H20)/G20,"")</f>
        <v/>
      </c>
      <c r="J20" s="32"/>
      <c r="K20" s="32"/>
      <c r="L20" s="32"/>
      <c r="M20" s="32"/>
      <c r="N20" s="32"/>
      <c r="O20" s="40"/>
      <c r="P20" s="32"/>
    </row>
    <row r="21" customFormat="false" ht="19.5" hidden="false" customHeight="true" outlineLevel="0" collapsed="false">
      <c r="A21" s="39" t="n">
        <v>17</v>
      </c>
      <c r="B21" s="32"/>
      <c r="C21" s="32"/>
      <c r="D21" s="32"/>
      <c r="E21" s="17" t="str">
        <f aca="false">IF($D21="","",IF($C21="시술",$D21,IFERROR(INDEX('05_패키지'!$C$5:$C$24,MATCH($D21,'05_패키지'!$B$5:$B$24,0)),"⚠ 05_패키지에서 못 찾음")))</f>
        <v/>
      </c>
      <c r="F21" s="32"/>
      <c r="G21" s="40"/>
      <c r="H21" s="40"/>
      <c r="I21" s="44" t="str">
        <f aca="false">IFERROR((G21-H21)/G21,"")</f>
        <v/>
      </c>
      <c r="J21" s="32"/>
      <c r="K21" s="32"/>
      <c r="L21" s="32"/>
      <c r="M21" s="32"/>
      <c r="N21" s="32"/>
      <c r="O21" s="40"/>
      <c r="P21" s="32"/>
    </row>
    <row r="22" customFormat="false" ht="19.5" hidden="false" customHeight="true" outlineLevel="0" collapsed="false">
      <c r="A22" s="39" t="n">
        <v>18</v>
      </c>
      <c r="B22" s="32"/>
      <c r="C22" s="32"/>
      <c r="D22" s="32"/>
      <c r="E22" s="17" t="str">
        <f aca="false">IF($D22="","",IF($C22="시술",$D22,IFERROR(INDEX('05_패키지'!$C$5:$C$24,MATCH($D22,'05_패키지'!$B$5:$B$24,0)),"⚠ 05_패키지에서 못 찾음")))</f>
        <v/>
      </c>
      <c r="F22" s="32"/>
      <c r="G22" s="40"/>
      <c r="H22" s="40"/>
      <c r="I22" s="44" t="str">
        <f aca="false">IFERROR((G22-H22)/G22,"")</f>
        <v/>
      </c>
      <c r="J22" s="32"/>
      <c r="K22" s="32"/>
      <c r="L22" s="32"/>
      <c r="M22" s="32"/>
      <c r="N22" s="32"/>
      <c r="O22" s="40"/>
      <c r="P22" s="32"/>
    </row>
    <row r="23" customFormat="false" ht="19.5" hidden="false" customHeight="true" outlineLevel="0" collapsed="false">
      <c r="A23" s="39" t="n">
        <v>19</v>
      </c>
      <c r="B23" s="32"/>
      <c r="C23" s="32"/>
      <c r="D23" s="32"/>
      <c r="E23" s="17" t="str">
        <f aca="false">IF($D23="","",IF($C23="시술",$D23,IFERROR(INDEX('05_패키지'!$C$5:$C$24,MATCH($D23,'05_패키지'!$B$5:$B$24,0)),"⚠ 05_패키지에서 못 찾음")))</f>
        <v/>
      </c>
      <c r="F23" s="32"/>
      <c r="G23" s="40"/>
      <c r="H23" s="40"/>
      <c r="I23" s="44" t="str">
        <f aca="false">IFERROR((G23-H23)/G23,"")</f>
        <v/>
      </c>
      <c r="J23" s="32"/>
      <c r="K23" s="32"/>
      <c r="L23" s="32"/>
      <c r="M23" s="32"/>
      <c r="N23" s="32"/>
      <c r="O23" s="40"/>
      <c r="P23" s="32"/>
    </row>
    <row r="24" customFormat="false" ht="19.5" hidden="false" customHeight="true" outlineLevel="0" collapsed="false">
      <c r="A24" s="39" t="n">
        <v>20</v>
      </c>
      <c r="B24" s="32"/>
      <c r="C24" s="32"/>
      <c r="D24" s="32"/>
      <c r="E24" s="17" t="str">
        <f aca="false">IF($D24="","",IF($C24="시술",$D24,IFERROR(INDEX('05_패키지'!$C$5:$C$24,MATCH($D24,'05_패키지'!$B$5:$B$24,0)),"⚠ 05_패키지에서 못 찾음")))</f>
        <v/>
      </c>
      <c r="F24" s="32"/>
      <c r="G24" s="40"/>
      <c r="H24" s="40"/>
      <c r="I24" s="44" t="str">
        <f aca="false">IFERROR((G24-H24)/G24,"")</f>
        <v/>
      </c>
      <c r="J24" s="32"/>
      <c r="K24" s="32"/>
      <c r="L24" s="32"/>
      <c r="M24" s="32"/>
      <c r="N24" s="32"/>
      <c r="O24" s="40"/>
      <c r="P24" s="32"/>
    </row>
    <row r="25" customFormat="false" ht="19.5" hidden="false" customHeight="true" outlineLevel="0" collapsed="false">
      <c r="A25" s="39" t="n">
        <v>21</v>
      </c>
      <c r="B25" s="32"/>
      <c r="C25" s="32"/>
      <c r="D25" s="32"/>
      <c r="E25" s="17" t="str">
        <f aca="false">IF($D25="","",IF($C25="시술",$D25,IFERROR(INDEX('05_패키지'!$C$5:$C$24,MATCH($D25,'05_패키지'!$B$5:$B$24,0)),"⚠ 05_패키지에서 못 찾음")))</f>
        <v/>
      </c>
      <c r="F25" s="32"/>
      <c r="G25" s="40"/>
      <c r="H25" s="40"/>
      <c r="I25" s="44" t="str">
        <f aca="false">IFERROR((G25-H25)/G25,"")</f>
        <v/>
      </c>
      <c r="J25" s="32"/>
      <c r="K25" s="32"/>
      <c r="L25" s="32"/>
      <c r="M25" s="32"/>
      <c r="N25" s="32"/>
      <c r="O25" s="40"/>
      <c r="P25" s="32"/>
    </row>
    <row r="26" customFormat="false" ht="19.5" hidden="false" customHeight="true" outlineLevel="0" collapsed="false">
      <c r="A26" s="39" t="n">
        <v>22</v>
      </c>
      <c r="B26" s="32"/>
      <c r="C26" s="32"/>
      <c r="D26" s="32"/>
      <c r="E26" s="17" t="str">
        <f aca="false">IF($D26="","",IF($C26="시술",$D26,IFERROR(INDEX('05_패키지'!$C$5:$C$24,MATCH($D26,'05_패키지'!$B$5:$B$24,0)),"⚠ 05_패키지에서 못 찾음")))</f>
        <v/>
      </c>
      <c r="F26" s="32"/>
      <c r="G26" s="40"/>
      <c r="H26" s="40"/>
      <c r="I26" s="44" t="str">
        <f aca="false">IFERROR((G26-H26)/G26,"")</f>
        <v/>
      </c>
      <c r="J26" s="32"/>
      <c r="K26" s="32"/>
      <c r="L26" s="32"/>
      <c r="M26" s="32"/>
      <c r="N26" s="32"/>
      <c r="O26" s="40"/>
      <c r="P26" s="32"/>
    </row>
    <row r="27" customFormat="false" ht="19.5" hidden="false" customHeight="true" outlineLevel="0" collapsed="false">
      <c r="A27" s="39" t="n">
        <v>23</v>
      </c>
      <c r="B27" s="32"/>
      <c r="C27" s="32"/>
      <c r="D27" s="32"/>
      <c r="E27" s="17" t="str">
        <f aca="false">IF($D27="","",IF($C27="시술",$D27,IFERROR(INDEX('05_패키지'!$C$5:$C$24,MATCH($D27,'05_패키지'!$B$5:$B$24,0)),"⚠ 05_패키지에서 못 찾음")))</f>
        <v/>
      </c>
      <c r="F27" s="32"/>
      <c r="G27" s="40"/>
      <c r="H27" s="40"/>
      <c r="I27" s="44" t="str">
        <f aca="false">IFERROR((G27-H27)/G27,"")</f>
        <v/>
      </c>
      <c r="J27" s="32"/>
      <c r="K27" s="32"/>
      <c r="L27" s="32"/>
      <c r="M27" s="32"/>
      <c r="N27" s="32"/>
      <c r="O27" s="40"/>
      <c r="P27" s="32"/>
    </row>
    <row r="28" customFormat="false" ht="19.5" hidden="false" customHeight="true" outlineLevel="0" collapsed="false">
      <c r="A28" s="39" t="n">
        <v>24</v>
      </c>
      <c r="B28" s="32"/>
      <c r="C28" s="32"/>
      <c r="D28" s="32"/>
      <c r="E28" s="17" t="str">
        <f aca="false">IF($D28="","",IF($C28="시술",$D28,IFERROR(INDEX('05_패키지'!$C$5:$C$24,MATCH($D28,'05_패키지'!$B$5:$B$24,0)),"⚠ 05_패키지에서 못 찾음")))</f>
        <v/>
      </c>
      <c r="F28" s="32"/>
      <c r="G28" s="40"/>
      <c r="H28" s="40"/>
      <c r="I28" s="44" t="str">
        <f aca="false">IFERROR((G28-H28)/G28,"")</f>
        <v/>
      </c>
      <c r="J28" s="32"/>
      <c r="K28" s="32"/>
      <c r="L28" s="32"/>
      <c r="M28" s="32"/>
      <c r="N28" s="32"/>
      <c r="O28" s="40"/>
      <c r="P28" s="32"/>
    </row>
    <row r="29" customFormat="false" ht="19.5" hidden="false" customHeight="true" outlineLevel="0" collapsed="false">
      <c r="A29" s="39" t="n">
        <v>25</v>
      </c>
      <c r="B29" s="32"/>
      <c r="C29" s="32"/>
      <c r="D29" s="32"/>
      <c r="E29" s="17" t="str">
        <f aca="false">IF($D29="","",IF($C29="시술",$D29,IFERROR(INDEX('05_패키지'!$C$5:$C$24,MATCH($D29,'05_패키지'!$B$5:$B$24,0)),"⚠ 05_패키지에서 못 찾음")))</f>
        <v/>
      </c>
      <c r="F29" s="32"/>
      <c r="G29" s="40"/>
      <c r="H29" s="40"/>
      <c r="I29" s="44" t="str">
        <f aca="false">IFERROR((G29-H29)/G29,"")</f>
        <v/>
      </c>
      <c r="J29" s="32"/>
      <c r="K29" s="32"/>
      <c r="L29" s="32"/>
      <c r="M29" s="32"/>
      <c r="N29" s="32"/>
      <c r="O29" s="40"/>
      <c r="P29" s="32"/>
    </row>
    <row r="30" customFormat="false" ht="19.5" hidden="false" customHeight="true" outlineLevel="0" collapsed="false">
      <c r="A30" s="39" t="n">
        <v>26</v>
      </c>
      <c r="B30" s="32"/>
      <c r="C30" s="32"/>
      <c r="D30" s="32"/>
      <c r="E30" s="17" t="str">
        <f aca="false">IF($D30="","",IF($C30="시술",$D30,IFERROR(INDEX('05_패키지'!$C$5:$C$24,MATCH($D30,'05_패키지'!$B$5:$B$24,0)),"⚠ 05_패키지에서 못 찾음")))</f>
        <v/>
      </c>
      <c r="F30" s="32"/>
      <c r="G30" s="40"/>
      <c r="H30" s="40"/>
      <c r="I30" s="44" t="str">
        <f aca="false">IFERROR((G30-H30)/G30,"")</f>
        <v/>
      </c>
      <c r="J30" s="32"/>
      <c r="K30" s="32"/>
      <c r="L30" s="32"/>
      <c r="M30" s="32"/>
      <c r="N30" s="32"/>
      <c r="O30" s="40"/>
      <c r="P30" s="32"/>
    </row>
    <row r="31" customFormat="false" ht="19.5" hidden="false" customHeight="true" outlineLevel="0" collapsed="false">
      <c r="A31" s="39" t="n">
        <v>27</v>
      </c>
      <c r="B31" s="32"/>
      <c r="C31" s="32"/>
      <c r="D31" s="32"/>
      <c r="E31" s="17" t="str">
        <f aca="false">IF($D31="","",IF($C31="시술",$D31,IFERROR(INDEX('05_패키지'!$C$5:$C$24,MATCH($D31,'05_패키지'!$B$5:$B$24,0)),"⚠ 05_패키지에서 못 찾음")))</f>
        <v/>
      </c>
      <c r="F31" s="32"/>
      <c r="G31" s="40"/>
      <c r="H31" s="40"/>
      <c r="I31" s="44" t="str">
        <f aca="false">IFERROR((G31-H31)/G31,"")</f>
        <v/>
      </c>
      <c r="J31" s="32"/>
      <c r="K31" s="32"/>
      <c r="L31" s="32"/>
      <c r="M31" s="32"/>
      <c r="N31" s="32"/>
      <c r="O31" s="40"/>
      <c r="P31" s="32"/>
    </row>
    <row r="32" customFormat="false" ht="19.5" hidden="false" customHeight="true" outlineLevel="0" collapsed="false">
      <c r="A32" s="39" t="n">
        <v>28</v>
      </c>
      <c r="B32" s="32"/>
      <c r="C32" s="32"/>
      <c r="D32" s="32"/>
      <c r="E32" s="17" t="str">
        <f aca="false">IF($D32="","",IF($C32="시술",$D32,IFERROR(INDEX('05_패키지'!$C$5:$C$24,MATCH($D32,'05_패키지'!$B$5:$B$24,0)),"⚠ 05_패키지에서 못 찾음")))</f>
        <v/>
      </c>
      <c r="F32" s="32"/>
      <c r="G32" s="40"/>
      <c r="H32" s="40"/>
      <c r="I32" s="44" t="str">
        <f aca="false">IFERROR((G32-H32)/G32,"")</f>
        <v/>
      </c>
      <c r="J32" s="32"/>
      <c r="K32" s="32"/>
      <c r="L32" s="32"/>
      <c r="M32" s="32"/>
      <c r="N32" s="32"/>
      <c r="O32" s="40"/>
      <c r="P32" s="32"/>
    </row>
    <row r="33" customFormat="false" ht="19.5" hidden="false" customHeight="true" outlineLevel="0" collapsed="false">
      <c r="A33" s="39" t="n">
        <v>29</v>
      </c>
      <c r="B33" s="32"/>
      <c r="C33" s="32"/>
      <c r="D33" s="32"/>
      <c r="E33" s="17" t="str">
        <f aca="false">IF($D33="","",IF($C33="시술",$D33,IFERROR(INDEX('05_패키지'!$C$5:$C$24,MATCH($D33,'05_패키지'!$B$5:$B$24,0)),"⚠ 05_패키지에서 못 찾음")))</f>
        <v/>
      </c>
      <c r="F33" s="32"/>
      <c r="G33" s="40"/>
      <c r="H33" s="40"/>
      <c r="I33" s="44" t="str">
        <f aca="false">IFERROR((G33-H33)/G33,"")</f>
        <v/>
      </c>
      <c r="J33" s="32"/>
      <c r="K33" s="32"/>
      <c r="L33" s="32"/>
      <c r="M33" s="32"/>
      <c r="N33" s="32"/>
      <c r="O33" s="40"/>
      <c r="P33" s="32"/>
    </row>
    <row r="34" customFormat="false" ht="19.5" hidden="false" customHeight="true" outlineLevel="0" collapsed="false">
      <c r="A34" s="39" t="n">
        <v>30</v>
      </c>
      <c r="B34" s="32"/>
      <c r="C34" s="32"/>
      <c r="D34" s="32"/>
      <c r="E34" s="17" t="str">
        <f aca="false">IF($D34="","",IF($C34="시술",$D34,IFERROR(INDEX('05_패키지'!$C$5:$C$24,MATCH($D34,'05_패키지'!$B$5:$B$24,0)),"⚠ 05_패키지에서 못 찾음")))</f>
        <v/>
      </c>
      <c r="F34" s="32"/>
      <c r="G34" s="40"/>
      <c r="H34" s="40"/>
      <c r="I34" s="44" t="str">
        <f aca="false">IFERROR((G34-H34)/G34,"")</f>
        <v/>
      </c>
      <c r="J34" s="32"/>
      <c r="K34" s="32"/>
      <c r="L34" s="32"/>
      <c r="M34" s="32"/>
      <c r="N34" s="32"/>
      <c r="O34" s="40"/>
      <c r="P34" s="32"/>
    </row>
    <row r="35" customFormat="false" ht="19.5" hidden="false" customHeight="true" outlineLevel="0" collapsed="false">
      <c r="A35" s="39" t="n">
        <v>31</v>
      </c>
      <c r="B35" s="32"/>
      <c r="C35" s="32"/>
      <c r="D35" s="32"/>
      <c r="E35" s="17" t="str">
        <f aca="false">IF($D35="","",IF($C35="시술",$D35,IFERROR(INDEX('05_패키지'!$C$5:$C$24,MATCH($D35,'05_패키지'!$B$5:$B$24,0)),"⚠ 05_패키지에서 못 찾음")))</f>
        <v/>
      </c>
      <c r="F35" s="32"/>
      <c r="G35" s="40"/>
      <c r="H35" s="40"/>
      <c r="I35" s="44" t="str">
        <f aca="false">IFERROR((G35-H35)/G35,"")</f>
        <v/>
      </c>
      <c r="J35" s="32"/>
      <c r="K35" s="32"/>
      <c r="L35" s="32"/>
      <c r="M35" s="32"/>
      <c r="N35" s="32"/>
      <c r="O35" s="40"/>
      <c r="P35" s="32"/>
    </row>
    <row r="36" customFormat="false" ht="19.5" hidden="false" customHeight="true" outlineLevel="0" collapsed="false">
      <c r="A36" s="39" t="n">
        <v>32</v>
      </c>
      <c r="B36" s="32"/>
      <c r="C36" s="32"/>
      <c r="D36" s="32"/>
      <c r="E36" s="17" t="str">
        <f aca="false">IF($D36="","",IF($C36="시술",$D36,IFERROR(INDEX('05_패키지'!$C$5:$C$24,MATCH($D36,'05_패키지'!$B$5:$B$24,0)),"⚠ 05_패키지에서 못 찾음")))</f>
        <v/>
      </c>
      <c r="F36" s="32"/>
      <c r="G36" s="40"/>
      <c r="H36" s="40"/>
      <c r="I36" s="44" t="str">
        <f aca="false">IFERROR((G36-H36)/G36,"")</f>
        <v/>
      </c>
      <c r="J36" s="32"/>
      <c r="K36" s="32"/>
      <c r="L36" s="32"/>
      <c r="M36" s="32"/>
      <c r="N36" s="32"/>
      <c r="O36" s="40"/>
      <c r="P36" s="32"/>
    </row>
    <row r="37" customFormat="false" ht="19.5" hidden="false" customHeight="true" outlineLevel="0" collapsed="false">
      <c r="A37" s="39" t="n">
        <v>33</v>
      </c>
      <c r="B37" s="32"/>
      <c r="C37" s="32"/>
      <c r="D37" s="32"/>
      <c r="E37" s="17" t="str">
        <f aca="false">IF($D37="","",IF($C37="시술",$D37,IFERROR(INDEX('05_패키지'!$C$5:$C$24,MATCH($D37,'05_패키지'!$B$5:$B$24,0)),"⚠ 05_패키지에서 못 찾음")))</f>
        <v/>
      </c>
      <c r="F37" s="32"/>
      <c r="G37" s="40"/>
      <c r="H37" s="40"/>
      <c r="I37" s="44" t="str">
        <f aca="false">IFERROR((G37-H37)/G37,"")</f>
        <v/>
      </c>
      <c r="J37" s="32"/>
      <c r="K37" s="32"/>
      <c r="L37" s="32"/>
      <c r="M37" s="32"/>
      <c r="N37" s="32"/>
      <c r="O37" s="40"/>
      <c r="P37" s="32"/>
    </row>
    <row r="38" customFormat="false" ht="19.5" hidden="false" customHeight="true" outlineLevel="0" collapsed="false">
      <c r="A38" s="39" t="n">
        <v>34</v>
      </c>
      <c r="B38" s="32"/>
      <c r="C38" s="32"/>
      <c r="D38" s="32"/>
      <c r="E38" s="17" t="str">
        <f aca="false">IF($D38="","",IF($C38="시술",$D38,IFERROR(INDEX('05_패키지'!$C$5:$C$24,MATCH($D38,'05_패키지'!$B$5:$B$24,0)),"⚠ 05_패키지에서 못 찾음")))</f>
        <v/>
      </c>
      <c r="F38" s="32"/>
      <c r="G38" s="40"/>
      <c r="H38" s="40"/>
      <c r="I38" s="44" t="str">
        <f aca="false">IFERROR((G38-H38)/G38,"")</f>
        <v/>
      </c>
      <c r="J38" s="32"/>
      <c r="K38" s="32"/>
      <c r="L38" s="32"/>
      <c r="M38" s="32"/>
      <c r="N38" s="32"/>
      <c r="O38" s="40"/>
      <c r="P38" s="32"/>
    </row>
    <row r="39" customFormat="false" ht="19.5" hidden="false" customHeight="true" outlineLevel="0" collapsed="false">
      <c r="A39" s="39" t="n">
        <v>35</v>
      </c>
      <c r="B39" s="32"/>
      <c r="C39" s="32"/>
      <c r="D39" s="32"/>
      <c r="E39" s="17" t="str">
        <f aca="false">IF($D39="","",IF($C39="시술",$D39,IFERROR(INDEX('05_패키지'!$C$5:$C$24,MATCH($D39,'05_패키지'!$B$5:$B$24,0)),"⚠ 05_패키지에서 못 찾음")))</f>
        <v/>
      </c>
      <c r="F39" s="32"/>
      <c r="G39" s="40"/>
      <c r="H39" s="40"/>
      <c r="I39" s="44" t="str">
        <f aca="false">IFERROR((G39-H39)/G39,"")</f>
        <v/>
      </c>
      <c r="J39" s="32"/>
      <c r="K39" s="32"/>
      <c r="L39" s="32"/>
      <c r="M39" s="32"/>
      <c r="N39" s="32"/>
      <c r="O39" s="40"/>
      <c r="P39" s="32"/>
    </row>
    <row r="40" customFormat="false" ht="19.5" hidden="false" customHeight="true" outlineLevel="0" collapsed="false">
      <c r="A40" s="39" t="n">
        <v>36</v>
      </c>
      <c r="B40" s="32"/>
      <c r="C40" s="32"/>
      <c r="D40" s="32"/>
      <c r="E40" s="17" t="str">
        <f aca="false">IF($D40="","",IF($C40="시술",$D40,IFERROR(INDEX('05_패키지'!$C$5:$C$24,MATCH($D40,'05_패키지'!$B$5:$B$24,0)),"⚠ 05_패키지에서 못 찾음")))</f>
        <v/>
      </c>
      <c r="F40" s="32"/>
      <c r="G40" s="40"/>
      <c r="H40" s="40"/>
      <c r="I40" s="44" t="str">
        <f aca="false">IFERROR((G40-H40)/G40,"")</f>
        <v/>
      </c>
      <c r="J40" s="32"/>
      <c r="K40" s="32"/>
      <c r="L40" s="32"/>
      <c r="M40" s="32"/>
      <c r="N40" s="32"/>
      <c r="O40" s="40"/>
      <c r="P40" s="32"/>
    </row>
    <row r="41" customFormat="false" ht="19.5" hidden="false" customHeight="true" outlineLevel="0" collapsed="false">
      <c r="A41" s="39" t="n">
        <v>37</v>
      </c>
      <c r="B41" s="32"/>
      <c r="C41" s="32"/>
      <c r="D41" s="32"/>
      <c r="E41" s="17" t="str">
        <f aca="false">IF($D41="","",IF($C41="시술",$D41,IFERROR(INDEX('05_패키지'!$C$5:$C$24,MATCH($D41,'05_패키지'!$B$5:$B$24,0)),"⚠ 05_패키지에서 못 찾음")))</f>
        <v/>
      </c>
      <c r="F41" s="32"/>
      <c r="G41" s="40"/>
      <c r="H41" s="40"/>
      <c r="I41" s="44" t="str">
        <f aca="false">IFERROR((G41-H41)/G41,"")</f>
        <v/>
      </c>
      <c r="J41" s="32"/>
      <c r="K41" s="32"/>
      <c r="L41" s="32"/>
      <c r="M41" s="32"/>
      <c r="N41" s="32"/>
      <c r="O41" s="40"/>
      <c r="P41" s="32"/>
    </row>
    <row r="42" customFormat="false" ht="19.5" hidden="false" customHeight="true" outlineLevel="0" collapsed="false">
      <c r="A42" s="39" t="n">
        <v>38</v>
      </c>
      <c r="B42" s="32"/>
      <c r="C42" s="32"/>
      <c r="D42" s="32"/>
      <c r="E42" s="17" t="str">
        <f aca="false">IF($D42="","",IF($C42="시술",$D42,IFERROR(INDEX('05_패키지'!$C$5:$C$24,MATCH($D42,'05_패키지'!$B$5:$B$24,0)),"⚠ 05_패키지에서 못 찾음")))</f>
        <v/>
      </c>
      <c r="F42" s="32"/>
      <c r="G42" s="40"/>
      <c r="H42" s="40"/>
      <c r="I42" s="44" t="str">
        <f aca="false">IFERROR((G42-H42)/G42,"")</f>
        <v/>
      </c>
      <c r="J42" s="32"/>
      <c r="K42" s="32"/>
      <c r="L42" s="32"/>
      <c r="M42" s="32"/>
      <c r="N42" s="32"/>
      <c r="O42" s="40"/>
      <c r="P42" s="32"/>
    </row>
    <row r="43" customFormat="false" ht="19.5" hidden="false" customHeight="true" outlineLevel="0" collapsed="false">
      <c r="A43" s="39" t="n">
        <v>39</v>
      </c>
      <c r="B43" s="32"/>
      <c r="C43" s="32"/>
      <c r="D43" s="32"/>
      <c r="E43" s="17" t="str">
        <f aca="false">IF($D43="","",IF($C43="시술",$D43,IFERROR(INDEX('05_패키지'!$C$5:$C$24,MATCH($D43,'05_패키지'!$B$5:$B$24,0)),"⚠ 05_패키지에서 못 찾음")))</f>
        <v/>
      </c>
      <c r="F43" s="32"/>
      <c r="G43" s="40"/>
      <c r="H43" s="40"/>
      <c r="I43" s="44" t="str">
        <f aca="false">IFERROR((G43-H43)/G43,"")</f>
        <v/>
      </c>
      <c r="J43" s="32"/>
      <c r="K43" s="32"/>
      <c r="L43" s="32"/>
      <c r="M43" s="32"/>
      <c r="N43" s="32"/>
      <c r="O43" s="40"/>
      <c r="P43" s="32"/>
    </row>
    <row r="44" customFormat="false" ht="19.5" hidden="false" customHeight="true" outlineLevel="0" collapsed="false">
      <c r="A44" s="39" t="n">
        <v>40</v>
      </c>
      <c r="B44" s="32"/>
      <c r="C44" s="32"/>
      <c r="D44" s="32"/>
      <c r="E44" s="17" t="str">
        <f aca="false">IF($D44="","",IF($C44="시술",$D44,IFERROR(INDEX('05_패키지'!$C$5:$C$24,MATCH($D44,'05_패키지'!$B$5:$B$24,0)),"⚠ 05_패키지에서 못 찾음")))</f>
        <v/>
      </c>
      <c r="F44" s="32"/>
      <c r="G44" s="40"/>
      <c r="H44" s="40"/>
      <c r="I44" s="44" t="str">
        <f aca="false">IFERROR((G44-H44)/G44,"")</f>
        <v/>
      </c>
      <c r="J44" s="32"/>
      <c r="K44" s="32"/>
      <c r="L44" s="32"/>
      <c r="M44" s="32"/>
      <c r="N44" s="32"/>
      <c r="O44" s="40"/>
      <c r="P44" s="32"/>
    </row>
  </sheetData>
  <mergeCells count="2">
    <mergeCell ref="A1:P1"/>
    <mergeCell ref="A2:P2"/>
  </mergeCells>
  <dataValidations count="4">
    <dataValidation allowBlank="true" errorStyle="stop" operator="between" showDropDown="false" showErrorMessage="false" showInputMessage="false" sqref="C5:C44" type="list">
      <formula1>"시술,패키지"</formula1>
      <formula2>0</formula2>
    </dataValidation>
    <dataValidation allowBlank="true" errorStyle="stop" operator="between" showDropDown="false" showErrorMessage="false" showInputMessage="false" sqref="F5:F44" type="list">
      <formula1>"정가 판매,첫방문 체험,기간한정 할인,무료 체험"</formula1>
      <formula2>0</formula2>
    </dataValidation>
    <dataValidation allowBlank="true" errorStyle="stop" operator="between" showDropDown="false" showErrorMessage="false" showInputMessage="false" sqref="J5:J44" type="list">
      <formula1>"전체,신규만,재방문만"</formula1>
      <formula2>0</formula2>
    </dataValidation>
    <dataValidation allowBlank="true" error="예약상품명은(는) 30자 이내로 입력해 주세요." errorStyle="stop" errorTitle="글자 수 초과" operator="lessThanOrEqual" showDropDown="false" showErrorMessage="false" showInputMessage="false" sqref="B5:B44" type="textLength">
      <formula1>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24" hidden="false" customHeight="true" outlineLevel="0" collapsed="false">
      <c r="A1" s="23" t="s">
        <v>261</v>
      </c>
      <c r="B1" s="23"/>
      <c r="C1" s="23"/>
      <c r="D1" s="23"/>
      <c r="E1" s="23"/>
      <c r="F1" s="23"/>
    </row>
    <row r="2" customFormat="false" ht="30" hidden="false" customHeight="true" outlineLevel="0" collapsed="false">
      <c r="A2" s="2" t="s">
        <v>262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14" t="s">
        <v>75</v>
      </c>
      <c r="B3" s="14" t="s">
        <v>76</v>
      </c>
      <c r="C3" s="14" t="s">
        <v>43</v>
      </c>
      <c r="D3" s="14" t="s">
        <v>77</v>
      </c>
      <c r="E3" s="14" t="s">
        <v>78</v>
      </c>
      <c r="F3" s="14" t="s">
        <v>79</v>
      </c>
    </row>
    <row r="4" customFormat="false" ht="15" hidden="false" customHeight="true" outlineLevel="0" collapsed="false">
      <c r="A4" s="3" t="s">
        <v>263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7" t="s">
        <v>263</v>
      </c>
      <c r="B5" s="7" t="s">
        <v>264</v>
      </c>
      <c r="C5" s="16" t="s">
        <v>43</v>
      </c>
      <c r="D5" s="12"/>
      <c r="E5" s="24"/>
      <c r="F5" s="13" t="s">
        <v>265</v>
      </c>
    </row>
    <row r="6" customFormat="false" ht="21.75" hidden="false" customHeight="true" outlineLevel="0" collapsed="false">
      <c r="A6" s="7" t="s">
        <v>263</v>
      </c>
      <c r="B6" s="7" t="s">
        <v>266</v>
      </c>
      <c r="C6" s="25"/>
      <c r="D6" s="12"/>
      <c r="E6" s="24"/>
      <c r="F6" s="10" t="s">
        <v>267</v>
      </c>
    </row>
    <row r="7" customFormat="false" ht="21.75" hidden="false" customHeight="true" outlineLevel="0" collapsed="false">
      <c r="A7" s="7" t="s">
        <v>263</v>
      </c>
      <c r="B7" s="7" t="s">
        <v>268</v>
      </c>
      <c r="C7" s="25"/>
      <c r="D7" s="12"/>
      <c r="E7" s="24"/>
      <c r="F7" s="10" t="s">
        <v>269</v>
      </c>
    </row>
    <row r="8" customFormat="false" ht="21.75" hidden="false" customHeight="true" outlineLevel="0" collapsed="false">
      <c r="A8" s="7" t="s">
        <v>263</v>
      </c>
      <c r="B8" s="7" t="s">
        <v>270</v>
      </c>
      <c r="C8" s="25"/>
      <c r="D8" s="12"/>
      <c r="E8" s="24"/>
      <c r="F8" s="10" t="s">
        <v>271</v>
      </c>
    </row>
    <row r="9" customFormat="false" ht="21.75" hidden="false" customHeight="true" outlineLevel="0" collapsed="false">
      <c r="A9" s="7" t="s">
        <v>263</v>
      </c>
      <c r="B9" s="7" t="s">
        <v>272</v>
      </c>
      <c r="C9" s="25"/>
      <c r="D9" s="12"/>
      <c r="E9" s="24"/>
      <c r="F9" s="10" t="s">
        <v>273</v>
      </c>
    </row>
    <row r="10" customFormat="false" ht="21.75" hidden="false" customHeight="true" outlineLevel="0" collapsed="false">
      <c r="A10" s="7" t="s">
        <v>263</v>
      </c>
      <c r="B10" s="7" t="s">
        <v>274</v>
      </c>
      <c r="C10" s="25"/>
      <c r="D10" s="12"/>
      <c r="E10" s="24"/>
      <c r="F10" s="13" t="s">
        <v>275</v>
      </c>
    </row>
    <row r="11" customFormat="false" ht="21.75" hidden="false" customHeight="true" outlineLevel="0" collapsed="false">
      <c r="A11" s="7" t="s">
        <v>263</v>
      </c>
      <c r="B11" s="7" t="s">
        <v>276</v>
      </c>
      <c r="C11" s="25"/>
      <c r="D11" s="12"/>
      <c r="E11" s="24"/>
      <c r="F11" s="10" t="s">
        <v>277</v>
      </c>
    </row>
    <row r="12" customFormat="false" ht="21.75" hidden="false" customHeight="true" outlineLevel="0" collapsed="false">
      <c r="A12" s="7" t="s">
        <v>263</v>
      </c>
      <c r="B12" s="7" t="s">
        <v>278</v>
      </c>
      <c r="C12" s="25"/>
      <c r="D12" s="12"/>
      <c r="E12" s="24"/>
      <c r="F12" s="10" t="s">
        <v>279</v>
      </c>
    </row>
    <row r="13" customFormat="false" ht="15" hidden="false" customHeight="true" outlineLevel="0" collapsed="false">
      <c r="A13" s="3" t="s">
        <v>280</v>
      </c>
      <c r="B13" s="3"/>
      <c r="C13" s="3"/>
      <c r="D13" s="3"/>
      <c r="E13" s="3"/>
      <c r="F13" s="3"/>
    </row>
    <row r="14" customFormat="false" ht="21.75" hidden="false" customHeight="true" outlineLevel="0" collapsed="false">
      <c r="A14" s="7" t="s">
        <v>280</v>
      </c>
      <c r="B14" s="7" t="s">
        <v>281</v>
      </c>
      <c r="C14" s="25"/>
      <c r="D14" s="12"/>
      <c r="E14" s="24"/>
      <c r="F14" s="13" t="s">
        <v>282</v>
      </c>
    </row>
    <row r="15" customFormat="false" ht="21.75" hidden="false" customHeight="true" outlineLevel="0" collapsed="false">
      <c r="A15" s="7" t="s">
        <v>280</v>
      </c>
      <c r="B15" s="7" t="s">
        <v>283</v>
      </c>
      <c r="C15" s="25"/>
      <c r="D15" s="12"/>
      <c r="E15" s="24"/>
      <c r="F15" s="10" t="s">
        <v>284</v>
      </c>
    </row>
    <row r="16" customFormat="false" ht="15" hidden="false" customHeight="true" outlineLevel="0" collapsed="false">
      <c r="A16" s="3" t="s">
        <v>285</v>
      </c>
      <c r="B16" s="3"/>
      <c r="C16" s="3"/>
      <c r="D16" s="3"/>
      <c r="E16" s="3"/>
      <c r="F16" s="3"/>
    </row>
    <row r="17" customFormat="false" ht="21.75" hidden="false" customHeight="true" outlineLevel="0" collapsed="false">
      <c r="A17" s="7" t="s">
        <v>285</v>
      </c>
      <c r="B17" s="7" t="s">
        <v>286</v>
      </c>
      <c r="C17" s="25"/>
      <c r="D17" s="12"/>
      <c r="E17" s="24"/>
      <c r="F17" s="13" t="s">
        <v>287</v>
      </c>
    </row>
    <row r="18" customFormat="false" ht="21.75" hidden="false" customHeight="true" outlineLevel="0" collapsed="false">
      <c r="A18" s="7" t="s">
        <v>285</v>
      </c>
      <c r="B18" s="7" t="s">
        <v>288</v>
      </c>
      <c r="C18" s="25"/>
      <c r="D18" s="12"/>
      <c r="E18" s="24"/>
      <c r="F18" s="10" t="s">
        <v>289</v>
      </c>
    </row>
    <row r="19" customFormat="false" ht="21.75" hidden="false" customHeight="true" outlineLevel="0" collapsed="false">
      <c r="A19" s="7" t="s">
        <v>285</v>
      </c>
      <c r="B19" s="7" t="s">
        <v>290</v>
      </c>
      <c r="C19" s="25"/>
      <c r="D19" s="12"/>
      <c r="E19" s="24"/>
      <c r="F19" s="10" t="s">
        <v>291</v>
      </c>
    </row>
    <row r="20" customFormat="false" ht="21.75" hidden="false" customHeight="true" outlineLevel="0" collapsed="false">
      <c r="A20" s="7" t="s">
        <v>285</v>
      </c>
      <c r="B20" s="7" t="s">
        <v>292</v>
      </c>
      <c r="C20" s="25"/>
      <c r="D20" s="12"/>
      <c r="E20" s="24"/>
      <c r="F20" s="10" t="s">
        <v>293</v>
      </c>
    </row>
    <row r="21" customFormat="false" ht="21.75" hidden="false" customHeight="true" outlineLevel="0" collapsed="false">
      <c r="A21" s="7" t="s">
        <v>285</v>
      </c>
      <c r="B21" s="7" t="s">
        <v>294</v>
      </c>
      <c r="C21" s="25"/>
      <c r="D21" s="12"/>
      <c r="E21" s="24"/>
      <c r="F21" s="13" t="s">
        <v>295</v>
      </c>
    </row>
    <row r="22" customFormat="false" ht="21.75" hidden="false" customHeight="true" outlineLevel="0" collapsed="false">
      <c r="A22" s="7" t="s">
        <v>285</v>
      </c>
      <c r="B22" s="7" t="s">
        <v>296</v>
      </c>
      <c r="C22" s="25"/>
      <c r="D22" s="12"/>
      <c r="E22" s="24"/>
      <c r="F22" s="10" t="s">
        <v>297</v>
      </c>
    </row>
    <row r="23" customFormat="false" ht="21.75" hidden="false" customHeight="true" outlineLevel="0" collapsed="false">
      <c r="A23" s="7" t="s">
        <v>285</v>
      </c>
      <c r="B23" s="7" t="s">
        <v>298</v>
      </c>
      <c r="C23" s="25"/>
      <c r="D23" s="12"/>
      <c r="E23" s="24"/>
      <c r="F23" s="10" t="s">
        <v>299</v>
      </c>
    </row>
    <row r="24" customFormat="false" ht="15" hidden="false" customHeight="true" outlineLevel="0" collapsed="false">
      <c r="A24" s="3" t="s">
        <v>300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7" t="s">
        <v>300</v>
      </c>
      <c r="B25" s="7" t="s">
        <v>301</v>
      </c>
      <c r="C25" s="25"/>
      <c r="D25" s="12"/>
      <c r="E25" s="24"/>
      <c r="F25" s="10" t="s">
        <v>302</v>
      </c>
    </row>
    <row r="26" customFormat="false" ht="69.75" hidden="false" customHeight="true" outlineLevel="0" collapsed="false">
      <c r="A26" s="7" t="s">
        <v>300</v>
      </c>
      <c r="B26" s="7" t="s">
        <v>303</v>
      </c>
      <c r="C26" s="25"/>
      <c r="D26" s="26"/>
      <c r="E26" s="24"/>
      <c r="F26" s="27" t="str">
        <f aca="false">IF(D26="","300자 이내. 고객에게 보여줄 안내입니다. 신규 확인 방법과 준비물을 적어주세요.  예) 첫방문 체험가는 본 매장 첫 이용 고객만 받으실 수 있습니다. 방문 시 신분 확인이 있을 수 있습니다.","입력 "&amp;LEN(D26)&amp;" / 300자"&amp;IF(LEN(D26)&gt;300,"  ⚠ 글자 수 초과",""))</f>
        <v>300자 이내. 고객에게 보여줄 안내입니다. 신규 확인 방법과 준비물을 적어주세요.  예) 첫방문 체험가는 본 매장 첫 이용 고객만 받으실 수 있습니다. 방문 시 신분 확인이 있을 수 있습니다.</v>
      </c>
    </row>
    <row r="27" customFormat="false" ht="21.75" hidden="false" customHeight="true" outlineLevel="0" collapsed="false">
      <c r="A27" s="7" t="s">
        <v>300</v>
      </c>
      <c r="B27" s="7" t="s">
        <v>304</v>
      </c>
      <c r="C27" s="25"/>
      <c r="D27" s="12"/>
      <c r="E27" s="24"/>
      <c r="F27" s="10" t="s">
        <v>305</v>
      </c>
    </row>
    <row r="28" customFormat="false" ht="15" hidden="false" customHeight="true" outlineLevel="0" collapsed="false">
      <c r="A28" s="3" t="s">
        <v>306</v>
      </c>
      <c r="B28" s="3"/>
      <c r="C28" s="3"/>
      <c r="D28" s="3"/>
      <c r="E28" s="3"/>
      <c r="F28" s="3"/>
    </row>
    <row r="29" customFormat="false" ht="21.75" hidden="false" customHeight="true" outlineLevel="0" collapsed="false">
      <c r="A29" s="7" t="s">
        <v>306</v>
      </c>
      <c r="B29" s="7" t="s">
        <v>307</v>
      </c>
      <c r="C29" s="25"/>
      <c r="D29" s="12"/>
      <c r="E29" s="24"/>
      <c r="F29" s="13" t="s">
        <v>143</v>
      </c>
    </row>
    <row r="30" customFormat="false" ht="21.75" hidden="false" customHeight="true" outlineLevel="0" collapsed="false">
      <c r="A30" s="7" t="s">
        <v>306</v>
      </c>
      <c r="B30" s="7" t="s">
        <v>308</v>
      </c>
      <c r="C30" s="25"/>
      <c r="D30" s="12"/>
      <c r="E30" s="24"/>
      <c r="F30" s="10" t="s">
        <v>309</v>
      </c>
    </row>
    <row r="31" customFormat="false" ht="69.75" hidden="false" customHeight="true" outlineLevel="0" collapsed="false">
      <c r="A31" s="7" t="s">
        <v>306</v>
      </c>
      <c r="B31" s="7" t="s">
        <v>310</v>
      </c>
      <c r="C31" s="25"/>
      <c r="D31" s="26"/>
      <c r="E31" s="24"/>
      <c r="F31" s="27" t="str">
        <f aca="false">IF(D31="","500자 이내. 예약이 확정됐을 때 고객에게 보낼 문구입니다. 준비물·주차·방문 안내를 담아주세요.  예) 예약이 확정되었습니다. 편한 복장으로 10분 전 도착 부탁드립니다. 주차는 건물 지하 2시간 무료입니다.","입력 "&amp;LEN(D31)&amp;" / 500자"&amp;IF(LEN(D31)&gt;500,"  ⚠ 글자 수 초과",""))</f>
        <v>500자 이내. 예약이 확정됐을 때 고객에게 보낼 문구입니다. 준비물·주차·방문 안내를 담아주세요.  예) 예약이 확정되었습니다. 편한 복장으로 10분 전 도착 부탁드립니다. 주차는 건물 지하 2시간 무료입니다.</v>
      </c>
    </row>
    <row r="32" customFormat="false" ht="21.75" hidden="false" customHeight="true" outlineLevel="0" collapsed="false">
      <c r="A32" s="7" t="s">
        <v>306</v>
      </c>
      <c r="B32" s="7" t="s">
        <v>311</v>
      </c>
      <c r="C32" s="25"/>
      <c r="D32" s="12" t="s">
        <v>312</v>
      </c>
      <c r="E32" s="24"/>
      <c r="F32" s="10" t="s">
        <v>313</v>
      </c>
    </row>
    <row r="33" customFormat="false" ht="21.75" hidden="false" customHeight="true" outlineLevel="0" collapsed="false">
      <c r="A33" s="7" t="s">
        <v>306</v>
      </c>
      <c r="B33" s="7" t="s">
        <v>314</v>
      </c>
      <c r="C33" s="25"/>
      <c r="D33" s="46" t="s">
        <v>315</v>
      </c>
      <c r="E33" s="24"/>
      <c r="F33" s="10" t="s">
        <v>316</v>
      </c>
    </row>
    <row r="34" customFormat="false" ht="21.75" hidden="false" customHeight="true" outlineLevel="0" collapsed="false">
      <c r="A34" s="7" t="s">
        <v>306</v>
      </c>
      <c r="B34" s="7" t="s">
        <v>317</v>
      </c>
      <c r="C34" s="25"/>
      <c r="D34" s="46" t="s">
        <v>318</v>
      </c>
      <c r="E34" s="24"/>
      <c r="F34" s="10" t="s">
        <v>319</v>
      </c>
    </row>
    <row r="35" customFormat="false" ht="21.75" hidden="false" customHeight="true" outlineLevel="0" collapsed="false">
      <c r="A35" s="7" t="s">
        <v>306</v>
      </c>
      <c r="B35" s="7" t="s">
        <v>320</v>
      </c>
      <c r="C35" s="25"/>
      <c r="D35" s="46"/>
      <c r="E35" s="24"/>
      <c r="F35" s="13" t="s">
        <v>321</v>
      </c>
    </row>
    <row r="36" customFormat="false" ht="69.75" hidden="false" customHeight="true" outlineLevel="0" collapsed="false">
      <c r="A36" s="7" t="s">
        <v>306</v>
      </c>
      <c r="B36" s="7" t="s">
        <v>322</v>
      </c>
      <c r="C36" s="25"/>
      <c r="D36" s="26"/>
      <c r="E36" s="24"/>
      <c r="F36" s="27" t="str">
        <f aca="false">IF(D36="","500자 이내. 방문 전에 보낼 문구입니다. 방문 일시·준비물·주차 안내를 담아주세요.  예) 내일 오후 3시 등 관리 예약이 있습니다. 편한 복장으로 10분 전 도착 부탁드립니다.","입력 "&amp;LEN(D36)&amp;" / 500자"&amp;IF(LEN(D36)&gt;500,"  ⚠ 글자 수 초과",""))</f>
        <v>500자 이내. 방문 전에 보낼 문구입니다. 방문 일시·준비물·주차 안내를 담아주세요.  예) 내일 오후 3시 등 관리 예약이 있습니다. 편한 복장으로 10분 전 도착 부탁드립니다.</v>
      </c>
    </row>
    <row r="37" customFormat="false" ht="21.75" hidden="false" customHeight="true" outlineLevel="0" collapsed="false">
      <c r="A37" s="7" t="s">
        <v>306</v>
      </c>
      <c r="B37" s="7" t="s">
        <v>323</v>
      </c>
      <c r="C37" s="25"/>
      <c r="D37" s="12"/>
      <c r="E37" s="24"/>
      <c r="F37" s="13" t="s">
        <v>143</v>
      </c>
    </row>
    <row r="38" customFormat="false" ht="69.75" hidden="false" customHeight="true" outlineLevel="0" collapsed="false">
      <c r="A38" s="7" t="s">
        <v>306</v>
      </c>
      <c r="B38" s="7" t="s">
        <v>324</v>
      </c>
      <c r="C38" s="25"/>
      <c r="D38" s="26"/>
      <c r="E38" s="24"/>
      <c r="F38" s="27" t="str">
        <f aca="false">IF(D38="","500자 이내. 예약이 취소됐을 때 보낼 문구입니다. 재예약 안내·환불 기준을 담아주세요.  예) 예약이 취소되었습니다. 재예약은 네이버 예약 또는 전화로 가능합니다. 예약금은 3영업일 내 환불됩니다.","입력 "&amp;LEN(D38)&amp;" / 500자"&amp;IF(LEN(D38)&gt;500,"  ⚠ 글자 수 초과",""))</f>
        <v>500자 이내. 예약이 취소됐을 때 보낼 문구입니다. 재예약 안내·환불 기준을 담아주세요.  예) 예약이 취소되었습니다. 재예약은 네이버 예약 또는 전화로 가능합니다. 예약금은 3영업일 내 환불됩니다.</v>
      </c>
    </row>
    <row r="39" customFormat="false" ht="21.75" hidden="false" customHeight="true" outlineLevel="0" collapsed="false">
      <c r="A39" s="7" t="s">
        <v>306</v>
      </c>
      <c r="B39" s="7" t="s">
        <v>325</v>
      </c>
      <c r="C39" s="25"/>
      <c r="D39" s="12"/>
      <c r="E39" s="24"/>
      <c r="F39" s="10" t="s">
        <v>326</v>
      </c>
    </row>
    <row r="40" customFormat="false" ht="15" hidden="false" customHeight="true" outlineLevel="0" collapsed="false">
      <c r="A40" s="3" t="s">
        <v>327</v>
      </c>
      <c r="B40" s="3"/>
      <c r="C40" s="3"/>
      <c r="D40" s="3"/>
      <c r="E40" s="3"/>
      <c r="F40" s="3"/>
    </row>
    <row r="41" customFormat="false" ht="21.75" hidden="false" customHeight="true" outlineLevel="0" collapsed="false">
      <c r="A41" s="7" t="s">
        <v>327</v>
      </c>
      <c r="B41" s="7" t="s">
        <v>328</v>
      </c>
      <c r="C41" s="25"/>
      <c r="D41" s="12"/>
      <c r="E41" s="24"/>
      <c r="F41" s="10" t="s">
        <v>329</v>
      </c>
    </row>
    <row r="42" customFormat="false" ht="21.75" hidden="false" customHeight="true" outlineLevel="0" collapsed="false">
      <c r="A42" s="7" t="s">
        <v>327</v>
      </c>
      <c r="B42" s="7" t="s">
        <v>92</v>
      </c>
      <c r="C42" s="25"/>
      <c r="D42" s="12"/>
      <c r="E42" s="24"/>
      <c r="F42" s="10" t="s">
        <v>329</v>
      </c>
    </row>
    <row r="43" customFormat="false" ht="21.75" hidden="false" customHeight="true" outlineLevel="0" collapsed="false">
      <c r="A43" s="7" t="s">
        <v>327</v>
      </c>
      <c r="B43" s="7" t="s">
        <v>330</v>
      </c>
      <c r="C43" s="25"/>
      <c r="D43" s="12"/>
      <c r="E43" s="24"/>
      <c r="F43" s="10" t="s">
        <v>331</v>
      </c>
    </row>
    <row r="44" customFormat="false" ht="21.75" hidden="false" customHeight="true" outlineLevel="0" collapsed="false">
      <c r="A44" s="7" t="s">
        <v>327</v>
      </c>
      <c r="B44" s="7" t="s">
        <v>332</v>
      </c>
      <c r="C44" s="25"/>
      <c r="D44" s="12"/>
      <c r="E44" s="24"/>
      <c r="F44" s="10" t="s">
        <v>333</v>
      </c>
    </row>
    <row r="45" customFormat="false" ht="21.75" hidden="false" customHeight="true" outlineLevel="0" collapsed="false">
      <c r="A45" s="7" t="s">
        <v>327</v>
      </c>
      <c r="B45" s="7" t="s">
        <v>334</v>
      </c>
      <c r="C45" s="25"/>
      <c r="D45" s="12"/>
      <c r="E45" s="24"/>
      <c r="F45" s="10" t="s">
        <v>335</v>
      </c>
    </row>
    <row r="46" customFormat="false" ht="21.75" hidden="false" customHeight="true" outlineLevel="0" collapsed="false">
      <c r="A46" s="7" t="s">
        <v>327</v>
      </c>
      <c r="B46" s="7" t="s">
        <v>336</v>
      </c>
      <c r="C46" s="25"/>
      <c r="D46" s="12"/>
      <c r="E46" s="24"/>
      <c r="F46" s="10" t="s">
        <v>337</v>
      </c>
    </row>
    <row r="47" customFormat="false" ht="21.75" hidden="false" customHeight="true" outlineLevel="0" collapsed="false">
      <c r="A47" s="7" t="s">
        <v>327</v>
      </c>
      <c r="B47" s="7" t="s">
        <v>338</v>
      </c>
      <c r="C47" s="25"/>
      <c r="D47" s="12"/>
      <c r="E47" s="24"/>
      <c r="F47" s="10" t="s">
        <v>339</v>
      </c>
    </row>
    <row r="48" customFormat="false" ht="21.75" hidden="false" customHeight="true" outlineLevel="0" collapsed="false">
      <c r="A48" s="7" t="s">
        <v>327</v>
      </c>
      <c r="B48" s="7" t="s">
        <v>340</v>
      </c>
      <c r="C48" s="25"/>
      <c r="D48" s="12"/>
      <c r="E48" s="24"/>
      <c r="F48" s="10" t="s">
        <v>341</v>
      </c>
    </row>
  </sheetData>
  <mergeCells count="8">
    <mergeCell ref="A1:F1"/>
    <mergeCell ref="A2:F2"/>
    <mergeCell ref="A4:F4"/>
    <mergeCell ref="A13:F13"/>
    <mergeCell ref="A16:F16"/>
    <mergeCell ref="A24:F24"/>
    <mergeCell ref="A28:F28"/>
    <mergeCell ref="A40:F40"/>
  </mergeCells>
  <dataValidations count="13">
    <dataValidation allowBlank="true" errorStyle="stop" operator="between" showDropDown="false" showErrorMessage="false" showInputMessage="false" sqref="E5:E12 E14:E15 E17:E23 E25:E27 E29:E39 E41:E48" type="list">
      <formula1>"입력완료,미입력,상담필요"</formula1>
      <formula2>0</formula2>
    </dataValidation>
    <dataValidation allowBlank="true" errorStyle="stop" operator="between" showDropDown="false" showErrorMessage="false" showInputMessage="false" sqref="D5 D14 D21 D29:D30 D37" type="list">
      <formula1>"Y,N"</formula1>
      <formula2>0</formula2>
    </dataValidation>
    <dataValidation allowBlank="true" errorStyle="stop" operator="between" showDropDown="false" showErrorMessage="false" showInputMessage="false" sqref="D15" type="list">
      <formula1>"쿠폰 발급,예약상품 할인"</formula1>
      <formula2>0</formula2>
    </dataValidation>
    <dataValidation allowBlank="true" errorStyle="stop" operator="between" showDropDown="false" showErrorMessage="false" showInputMessage="false" sqref="D17" type="list">
      <formula1>"정액(원),정률(%)"</formula1>
      <formula2>0</formula2>
    </dataValidation>
    <dataValidation allowBlank="true" errorStyle="stop" operator="between" showDropDown="false" showErrorMessage="false" showInputMessage="false" sqref="D25" type="list">
      <formula1>"쿠폰 소지 확인,매장 확인,예약 이력 자동 확인,미정"</formula1>
      <formula2>0</formula2>
    </dataValidation>
    <dataValidation allowBlank="true" errorStyle="stop" operator="between" showDropDown="false" showErrorMessage="false" showInputMessage="false" sqref="D27" type="list">
      <formula1>"정가로 결제,예약 취소,원장 재량"</formula1>
      <formula2>0</formula2>
    </dataValidation>
    <dataValidation allowBlank="true" errorStyle="stop" operator="between" showDropDown="false" showErrorMessage="false" showInputMessage="false" sqref="D32 D34" type="list">
      <formula1>"당일,1일 전,2일 전,3일 전,4일 전,미발송"</formula1>
      <formula2>0</formula2>
    </dataValidation>
    <dataValidation allowBlank="true" errorStyle="stop" operator="between" showDropDown="false" showErrorMessage="false" showInputMessage="false" sqref="D33 D35" type="list">
      <formula1>"오전 9시,오전 10시,오전 11시,오후 12시,오후 2시,오후 4시,오후 6시,오후 8시,시술 2시간 전,시술 3시간 전"</formula1>
      <formula2>0</formula2>
    </dataValidation>
    <dataValidation allowBlank="true" errorStyle="stop" operator="between" showDropDown="false" showErrorMessage="false" showInputMessage="false" sqref="D41:D48" type="list">
      <formula1>"필수,선택,미사용"</formula1>
      <formula2>0</formula2>
    </dataValidation>
    <dataValidation allowBlank="true" error="300자 이내로 입력해 주세요." errorStyle="stop" errorTitle="글자 수 초과" operator="lessThanOrEqual" showDropDown="false" showErrorMessage="false" showInputMessage="false" sqref="D26" type="textLength">
      <formula1>300</formula1>
      <formula2>0</formula2>
    </dataValidation>
    <dataValidation allowBlank="true" error="500자 이내로 입력해 주세요." errorStyle="stop" errorTitle="글자 수 초과" operator="lessThanOrEqual" showDropDown="false" showErrorMessage="false" showInputMessage="false" sqref="D31" type="textLength">
      <formula1>500</formula1>
      <formula2>0</formula2>
    </dataValidation>
    <dataValidation allowBlank="true" error="500자 이내로 입력해 주세요." errorStyle="stop" errorTitle="글자 수 초과" operator="lessThanOrEqual" showDropDown="false" showErrorMessage="false" showInputMessage="false" sqref="D36" type="textLength">
      <formula1>500</formula1>
      <formula2>0</formula2>
    </dataValidation>
    <dataValidation allowBlank="true" error="500자 이내로 입력해 주세요." errorStyle="stop" errorTitle="글자 수 초과" operator="lessThanOrEqual" showDropDown="false" showErrorMessage="false" showInputMessage="false" sqref="D38" type="textLength">
      <formula1>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24" hidden="false" customHeight="true" outlineLevel="0" collapsed="false">
      <c r="A1" s="23" t="s">
        <v>342</v>
      </c>
      <c r="B1" s="23"/>
      <c r="C1" s="23"/>
      <c r="D1" s="23"/>
      <c r="E1" s="23"/>
      <c r="F1" s="23"/>
    </row>
    <row r="2" customFormat="false" ht="30" hidden="false" customHeight="true" outlineLevel="0" collapsed="false">
      <c r="A2" s="2" t="s">
        <v>343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14" t="s">
        <v>75</v>
      </c>
      <c r="B3" s="14" t="s">
        <v>76</v>
      </c>
      <c r="C3" s="14" t="s">
        <v>43</v>
      </c>
      <c r="D3" s="14" t="s">
        <v>77</v>
      </c>
      <c r="E3" s="14" t="s">
        <v>78</v>
      </c>
      <c r="F3" s="14" t="s">
        <v>79</v>
      </c>
    </row>
    <row r="4" customFormat="false" ht="15" hidden="false" customHeight="true" outlineLevel="0" collapsed="false">
      <c r="A4" s="3" t="s">
        <v>344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7" t="s">
        <v>345</v>
      </c>
      <c r="B5" s="7" t="s">
        <v>346</v>
      </c>
      <c r="C5" s="25"/>
      <c r="D5" s="12"/>
      <c r="E5" s="24"/>
      <c r="F5" s="13" t="s">
        <v>265</v>
      </c>
    </row>
    <row r="6" customFormat="false" ht="21.75" hidden="false" customHeight="true" outlineLevel="0" collapsed="false">
      <c r="A6" s="7" t="s">
        <v>345</v>
      </c>
      <c r="B6" s="7" t="s">
        <v>347</v>
      </c>
      <c r="C6" s="25"/>
      <c r="D6" s="12"/>
      <c r="E6" s="24"/>
      <c r="F6" s="10" t="s">
        <v>348</v>
      </c>
    </row>
    <row r="7" customFormat="false" ht="21.75" hidden="false" customHeight="true" outlineLevel="0" collapsed="false">
      <c r="A7" s="7" t="s">
        <v>345</v>
      </c>
      <c r="B7" s="15" t="s">
        <v>349</v>
      </c>
      <c r="C7" s="25"/>
      <c r="D7" s="8" t="str">
        <f aca="false">IF('01_기본정보'!D12="","",'01_기본정보'!D12)</f>
        <v/>
      </c>
      <c r="E7" s="47"/>
      <c r="F7" s="13" t="s">
        <v>350</v>
      </c>
    </row>
    <row r="8" customFormat="false" ht="21.75" hidden="false" customHeight="true" outlineLevel="0" collapsed="false">
      <c r="A8" s="7" t="s">
        <v>345</v>
      </c>
      <c r="B8" s="15" t="s">
        <v>351</v>
      </c>
      <c r="C8" s="25"/>
      <c r="D8" s="12"/>
      <c r="E8" s="24"/>
      <c r="F8" s="13" t="s">
        <v>352</v>
      </c>
    </row>
    <row r="9" customFormat="false" ht="21.75" hidden="false" customHeight="true" outlineLevel="0" collapsed="false">
      <c r="A9" s="7" t="s">
        <v>345</v>
      </c>
      <c r="B9" s="15" t="s">
        <v>353</v>
      </c>
      <c r="C9" s="25"/>
      <c r="D9" s="12" t="s">
        <v>354</v>
      </c>
      <c r="E9" s="24"/>
      <c r="F9" s="13" t="s">
        <v>355</v>
      </c>
    </row>
    <row r="10" customFormat="false" ht="21.75" hidden="false" customHeight="true" outlineLevel="0" collapsed="false">
      <c r="A10" s="7" t="s">
        <v>345</v>
      </c>
      <c r="B10" s="7" t="s">
        <v>356</v>
      </c>
      <c r="C10" s="25"/>
      <c r="D10" s="46" t="s">
        <v>357</v>
      </c>
      <c r="E10" s="24"/>
      <c r="F10" s="10" t="s">
        <v>358</v>
      </c>
    </row>
    <row r="11" customFormat="false" ht="15" hidden="false" customHeight="true" outlineLevel="0" collapsed="false">
      <c r="A11" s="48" t="s">
        <v>359</v>
      </c>
      <c r="B11" s="48"/>
      <c r="C11" s="48"/>
      <c r="D11" s="48"/>
      <c r="E11" s="48"/>
      <c r="F11" s="48"/>
    </row>
    <row r="12" customFormat="false" ht="21.75" hidden="false" customHeight="true" outlineLevel="0" collapsed="false">
      <c r="A12" s="15" t="s">
        <v>360</v>
      </c>
      <c r="B12" s="7" t="s">
        <v>361</v>
      </c>
      <c r="C12" s="25"/>
      <c r="D12" s="12" t="s">
        <v>187</v>
      </c>
      <c r="E12" s="24"/>
      <c r="F12" s="13" t="s">
        <v>362</v>
      </c>
    </row>
    <row r="13" customFormat="false" ht="21.75" hidden="false" customHeight="true" outlineLevel="0" collapsed="false">
      <c r="A13" s="15" t="s">
        <v>360</v>
      </c>
      <c r="B13" s="7" t="s">
        <v>363</v>
      </c>
      <c r="C13" s="25"/>
      <c r="D13" s="46" t="s">
        <v>364</v>
      </c>
      <c r="E13" s="24"/>
      <c r="F13" s="10" t="s">
        <v>365</v>
      </c>
    </row>
    <row r="14" customFormat="false" ht="21.75" hidden="false" customHeight="true" outlineLevel="0" collapsed="false">
      <c r="A14" s="15" t="s">
        <v>366</v>
      </c>
      <c r="B14" s="7" t="s">
        <v>361</v>
      </c>
      <c r="C14" s="25"/>
      <c r="D14" s="12" t="s">
        <v>187</v>
      </c>
      <c r="E14" s="24"/>
      <c r="F14" s="13" t="s">
        <v>295</v>
      </c>
    </row>
    <row r="15" customFormat="false" ht="45.75" hidden="false" customHeight="true" outlineLevel="0" collapsed="false">
      <c r="A15" s="15" t="s">
        <v>366</v>
      </c>
      <c r="B15" s="7" t="s">
        <v>363</v>
      </c>
      <c r="C15" s="25"/>
      <c r="D15" s="49" t="s">
        <v>367</v>
      </c>
      <c r="E15" s="24"/>
      <c r="F15" s="10" t="s">
        <v>368</v>
      </c>
    </row>
    <row r="16" customFormat="false" ht="21.75" hidden="false" customHeight="true" outlineLevel="0" collapsed="false">
      <c r="A16" s="15" t="s">
        <v>369</v>
      </c>
      <c r="B16" s="7" t="s">
        <v>361</v>
      </c>
      <c r="C16" s="25"/>
      <c r="D16" s="12" t="s">
        <v>187</v>
      </c>
      <c r="E16" s="24"/>
      <c r="F16" s="13" t="s">
        <v>295</v>
      </c>
    </row>
    <row r="17" customFormat="false" ht="45.75" hidden="false" customHeight="true" outlineLevel="0" collapsed="false">
      <c r="A17" s="15" t="s">
        <v>369</v>
      </c>
      <c r="B17" s="7" t="s">
        <v>363</v>
      </c>
      <c r="C17" s="25"/>
      <c r="D17" s="49" t="s">
        <v>370</v>
      </c>
      <c r="E17" s="24"/>
      <c r="F17" s="10" t="s">
        <v>371</v>
      </c>
    </row>
    <row r="18" customFormat="false" ht="21.75" hidden="false" customHeight="true" outlineLevel="0" collapsed="false">
      <c r="A18" s="15" t="s">
        <v>372</v>
      </c>
      <c r="B18" s="7" t="s">
        <v>361</v>
      </c>
      <c r="C18" s="25"/>
      <c r="D18" s="12" t="s">
        <v>187</v>
      </c>
      <c r="E18" s="24"/>
      <c r="F18" s="13" t="s">
        <v>295</v>
      </c>
    </row>
    <row r="19" customFormat="false" ht="45.75" hidden="false" customHeight="true" outlineLevel="0" collapsed="false">
      <c r="A19" s="15" t="s">
        <v>372</v>
      </c>
      <c r="B19" s="7" t="s">
        <v>363</v>
      </c>
      <c r="C19" s="25"/>
      <c r="D19" s="49" t="s">
        <v>373</v>
      </c>
      <c r="E19" s="24"/>
      <c r="F19" s="13" t="s">
        <v>374</v>
      </c>
    </row>
    <row r="20" customFormat="false" ht="21.75" hidden="false" customHeight="true" outlineLevel="0" collapsed="false">
      <c r="A20" s="15" t="s">
        <v>375</v>
      </c>
      <c r="B20" s="7" t="s">
        <v>361</v>
      </c>
      <c r="C20" s="25"/>
      <c r="D20" s="12" t="s">
        <v>187</v>
      </c>
      <c r="E20" s="24"/>
      <c r="F20" s="13" t="s">
        <v>295</v>
      </c>
    </row>
    <row r="21" customFormat="false" ht="45.75" hidden="false" customHeight="true" outlineLevel="0" collapsed="false">
      <c r="A21" s="15" t="s">
        <v>375</v>
      </c>
      <c r="B21" s="7" t="s">
        <v>363</v>
      </c>
      <c r="C21" s="25"/>
      <c r="D21" s="49" t="s">
        <v>376</v>
      </c>
      <c r="E21" s="24"/>
      <c r="F21" s="13" t="s">
        <v>377</v>
      </c>
    </row>
    <row r="22" customFormat="false" ht="15" hidden="false" customHeight="true" outlineLevel="0" collapsed="false">
      <c r="A22" s="3" t="s">
        <v>378</v>
      </c>
      <c r="B22" s="3"/>
      <c r="C22" s="3"/>
      <c r="D22" s="3"/>
      <c r="E22" s="3"/>
      <c r="F22" s="3"/>
    </row>
    <row r="23" customFormat="false" ht="45.75" hidden="false" customHeight="true" outlineLevel="0" collapsed="false">
      <c r="A23" s="7" t="s">
        <v>378</v>
      </c>
      <c r="B23" s="7" t="s">
        <v>379</v>
      </c>
      <c r="C23" s="25"/>
      <c r="D23" s="49" t="s">
        <v>380</v>
      </c>
      <c r="E23" s="24"/>
      <c r="F23" s="10" t="s">
        <v>381</v>
      </c>
    </row>
    <row r="24" customFormat="false" ht="45.75" hidden="false" customHeight="true" outlineLevel="0" collapsed="false">
      <c r="A24" s="7" t="s">
        <v>378</v>
      </c>
      <c r="B24" s="7" t="s">
        <v>382</v>
      </c>
      <c r="C24" s="25"/>
      <c r="D24" s="49" t="s">
        <v>383</v>
      </c>
      <c r="E24" s="24"/>
      <c r="F24" s="10" t="s">
        <v>384</v>
      </c>
    </row>
    <row r="25" customFormat="false" ht="15" hidden="false" customHeight="true" outlineLevel="0" collapsed="false">
      <c r="A25" s="3" t="s">
        <v>385</v>
      </c>
      <c r="B25" s="3"/>
      <c r="C25" s="3"/>
      <c r="D25" s="3"/>
      <c r="E25" s="3"/>
      <c r="F25" s="3"/>
    </row>
    <row r="26" customFormat="false" ht="21.75" hidden="false" customHeight="true" outlineLevel="0" collapsed="false">
      <c r="A26" s="7" t="s">
        <v>385</v>
      </c>
      <c r="B26" s="7" t="s">
        <v>386</v>
      </c>
      <c r="C26" s="25"/>
      <c r="D26" s="12" t="s">
        <v>187</v>
      </c>
      <c r="E26" s="24"/>
      <c r="F26" s="13" t="s">
        <v>295</v>
      </c>
    </row>
    <row r="27" customFormat="false" ht="45.75" hidden="false" customHeight="true" outlineLevel="0" collapsed="false">
      <c r="A27" s="7" t="s">
        <v>385</v>
      </c>
      <c r="B27" s="7" t="s">
        <v>387</v>
      </c>
      <c r="C27" s="25"/>
      <c r="D27" s="49" t="s">
        <v>388</v>
      </c>
      <c r="E27" s="24"/>
      <c r="F27" s="10" t="s">
        <v>389</v>
      </c>
    </row>
    <row r="28" customFormat="false" ht="21.75" hidden="false" customHeight="true" outlineLevel="0" collapsed="false">
      <c r="A28" s="7" t="s">
        <v>385</v>
      </c>
      <c r="B28" s="7" t="s">
        <v>390</v>
      </c>
      <c r="C28" s="25"/>
      <c r="D28" s="46" t="s">
        <v>391</v>
      </c>
      <c r="E28" s="24"/>
      <c r="F28" s="10" t="s">
        <v>392</v>
      </c>
    </row>
  </sheetData>
  <mergeCells count="6">
    <mergeCell ref="A1:F1"/>
    <mergeCell ref="A2:F2"/>
    <mergeCell ref="A4:F4"/>
    <mergeCell ref="A11:F11"/>
    <mergeCell ref="A22:F22"/>
    <mergeCell ref="A25:F25"/>
  </mergeCells>
  <dataValidations count="3">
    <dataValidation allowBlank="true" errorStyle="stop" operator="between" showDropDown="false" showErrorMessage="false" showInputMessage="false" sqref="E5:E10 E12:E21 E23:E24 E26:E28" type="list">
      <formula1>"입력완료,미입력,상담필요"</formula1>
      <formula2>0</formula2>
    </dataValidation>
    <dataValidation allowBlank="true" errorStyle="stop" operator="between" showDropDown="false" showErrorMessage="false" showInputMessage="false" sqref="D5 D12 D14 D16 D18 D20 D26" type="list">
      <formula1>"Y,N"</formula1>
      <formula2>0</formula2>
    </dataValidation>
    <dataValidation allowBlank="true" errorStyle="stop" operator="between" showDropDown="false" showErrorMessage="false" showInputMessage="false" sqref="D9" type="list">
      <formula1>"15초,20초,30초,45초,2차 사용 안 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11"/>
    <col collapsed="false" customWidth="true" hidden="false" outlineLevel="0" max="7" min="7" style="0" width="40"/>
    <col collapsed="false" customWidth="true" hidden="false" outlineLevel="0" max="8" min="8" style="0" width="26"/>
  </cols>
  <sheetData>
    <row r="1" customFormat="false" ht="24" hidden="false" customHeight="true" outlineLevel="0" collapsed="false">
      <c r="A1" s="23" t="s">
        <v>393</v>
      </c>
      <c r="B1" s="23"/>
      <c r="C1" s="23"/>
      <c r="D1" s="23"/>
      <c r="E1" s="23"/>
      <c r="F1" s="23"/>
      <c r="G1" s="23"/>
      <c r="H1" s="23"/>
    </row>
    <row r="2" customFormat="false" ht="30" hidden="false" customHeight="true" outlineLevel="0" collapsed="false">
      <c r="A2" s="2" t="s">
        <v>394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395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36" t="s">
        <v>211</v>
      </c>
      <c r="B4" s="14" t="s">
        <v>75</v>
      </c>
      <c r="C4" s="14" t="s">
        <v>396</v>
      </c>
      <c r="D4" s="14" t="s">
        <v>397</v>
      </c>
      <c r="E4" s="14" t="s">
        <v>398</v>
      </c>
      <c r="F4" s="14" t="s">
        <v>219</v>
      </c>
      <c r="G4" s="14" t="s">
        <v>399</v>
      </c>
      <c r="H4" s="14" t="s">
        <v>40</v>
      </c>
    </row>
    <row r="5" customFormat="false" ht="15" hidden="false" customHeight="false" outlineLevel="0" collapsed="false">
      <c r="A5" s="28" t="s">
        <v>186</v>
      </c>
      <c r="B5" s="28" t="s">
        <v>400</v>
      </c>
      <c r="C5" s="30" t="s">
        <v>401</v>
      </c>
      <c r="D5" s="30" t="s">
        <v>402</v>
      </c>
      <c r="E5" s="29" t="s">
        <v>187</v>
      </c>
      <c r="F5" s="28" t="n">
        <v>1</v>
      </c>
      <c r="G5" s="29" t="s">
        <v>403</v>
      </c>
      <c r="H5" s="30" t="s">
        <v>404</v>
      </c>
    </row>
    <row r="6" customFormat="false" ht="19.5" hidden="false" customHeight="true" outlineLevel="0" collapsed="false">
      <c r="A6" s="39" t="n">
        <v>1</v>
      </c>
      <c r="B6" s="50" t="s">
        <v>400</v>
      </c>
      <c r="C6" s="12"/>
      <c r="D6" s="46"/>
      <c r="E6" s="32"/>
      <c r="F6" s="32"/>
      <c r="G6" s="32"/>
      <c r="H6" s="46"/>
    </row>
    <row r="7" customFormat="false" ht="19.5" hidden="false" customHeight="true" outlineLevel="0" collapsed="false">
      <c r="A7" s="39" t="n">
        <v>2</v>
      </c>
      <c r="B7" s="50" t="s">
        <v>400</v>
      </c>
      <c r="C7" s="12"/>
      <c r="D7" s="46"/>
      <c r="E7" s="32"/>
      <c r="F7" s="32"/>
      <c r="G7" s="32"/>
      <c r="H7" s="46"/>
    </row>
    <row r="8" customFormat="false" ht="19.5" hidden="false" customHeight="true" outlineLevel="0" collapsed="false">
      <c r="A8" s="39" t="n">
        <v>3</v>
      </c>
      <c r="B8" s="50" t="s">
        <v>400</v>
      </c>
      <c r="C8" s="12"/>
      <c r="D8" s="46"/>
      <c r="E8" s="32"/>
      <c r="F8" s="32"/>
      <c r="G8" s="32"/>
      <c r="H8" s="46"/>
    </row>
    <row r="9" customFormat="false" ht="19.5" hidden="false" customHeight="true" outlineLevel="0" collapsed="false">
      <c r="A9" s="39" t="n">
        <v>4</v>
      </c>
      <c r="B9" s="50" t="s">
        <v>400</v>
      </c>
      <c r="C9" s="12"/>
      <c r="D9" s="46"/>
      <c r="E9" s="32"/>
      <c r="F9" s="32"/>
      <c r="G9" s="32"/>
      <c r="H9" s="46"/>
    </row>
    <row r="10" customFormat="false" ht="19.5" hidden="false" customHeight="true" outlineLevel="0" collapsed="false">
      <c r="A10" s="39" t="n">
        <v>5</v>
      </c>
      <c r="B10" s="50" t="s">
        <v>400</v>
      </c>
      <c r="C10" s="12"/>
      <c r="D10" s="46"/>
      <c r="E10" s="32"/>
      <c r="F10" s="32"/>
      <c r="G10" s="32"/>
      <c r="H10" s="46"/>
    </row>
    <row r="11" customFormat="false" ht="19.5" hidden="false" customHeight="true" outlineLevel="0" collapsed="false">
      <c r="A11" s="39" t="n">
        <v>6</v>
      </c>
      <c r="B11" s="50" t="s">
        <v>400</v>
      </c>
      <c r="C11" s="12"/>
      <c r="D11" s="46"/>
      <c r="E11" s="32"/>
      <c r="F11" s="32"/>
      <c r="G11" s="32"/>
      <c r="H11" s="46"/>
    </row>
    <row r="12" customFormat="false" ht="19.5" hidden="false" customHeight="true" outlineLevel="0" collapsed="false">
      <c r="A12" s="39" t="n">
        <v>7</v>
      </c>
      <c r="B12" s="50" t="s">
        <v>400</v>
      </c>
      <c r="C12" s="12"/>
      <c r="D12" s="46"/>
      <c r="E12" s="32"/>
      <c r="F12" s="32"/>
      <c r="G12" s="32"/>
      <c r="H12" s="46"/>
    </row>
    <row r="13" customFormat="false" ht="19.5" hidden="false" customHeight="true" outlineLevel="0" collapsed="false">
      <c r="A13" s="39" t="n">
        <v>8</v>
      </c>
      <c r="B13" s="50" t="s">
        <v>400</v>
      </c>
      <c r="C13" s="12"/>
      <c r="D13" s="46"/>
      <c r="E13" s="32"/>
      <c r="F13" s="32"/>
      <c r="G13" s="32"/>
      <c r="H13" s="46"/>
    </row>
    <row r="14" customFormat="false" ht="19.5" hidden="false" customHeight="true" outlineLevel="0" collapsed="false">
      <c r="A14" s="39" t="n">
        <v>9</v>
      </c>
      <c r="B14" s="50" t="s">
        <v>400</v>
      </c>
      <c r="C14" s="12"/>
      <c r="D14" s="46"/>
      <c r="E14" s="32"/>
      <c r="F14" s="32"/>
      <c r="G14" s="32"/>
      <c r="H14" s="46"/>
    </row>
    <row r="15" customFormat="false" ht="19.5" hidden="false" customHeight="true" outlineLevel="0" collapsed="false">
      <c r="A15" s="39" t="n">
        <v>10</v>
      </c>
      <c r="B15" s="50" t="s">
        <v>400</v>
      </c>
      <c r="C15" s="12"/>
      <c r="D15" s="46"/>
      <c r="E15" s="32"/>
      <c r="F15" s="32"/>
      <c r="G15" s="32"/>
      <c r="H15" s="46"/>
    </row>
    <row r="16" customFormat="false" ht="19.5" hidden="false" customHeight="true" outlineLevel="0" collapsed="false">
      <c r="A16" s="39" t="n">
        <v>11</v>
      </c>
      <c r="B16" s="50" t="s">
        <v>400</v>
      </c>
      <c r="C16" s="12"/>
      <c r="D16" s="46"/>
      <c r="E16" s="32"/>
      <c r="F16" s="32"/>
      <c r="G16" s="32"/>
      <c r="H16" s="46"/>
    </row>
    <row r="17" customFormat="false" ht="19.5" hidden="false" customHeight="true" outlineLevel="0" collapsed="false">
      <c r="A17" s="39" t="n">
        <v>12</v>
      </c>
      <c r="B17" s="50" t="s">
        <v>400</v>
      </c>
      <c r="C17" s="12"/>
      <c r="D17" s="46"/>
      <c r="E17" s="32"/>
      <c r="F17" s="32"/>
      <c r="G17" s="32"/>
      <c r="H17" s="46"/>
    </row>
    <row r="18" customFormat="false" ht="19.5" hidden="false" customHeight="true" outlineLevel="0" collapsed="false">
      <c r="A18" s="39" t="n">
        <v>13</v>
      </c>
      <c r="B18" s="50" t="s">
        <v>400</v>
      </c>
      <c r="C18" s="12"/>
      <c r="D18" s="46"/>
      <c r="E18" s="32"/>
      <c r="F18" s="32"/>
      <c r="G18" s="32"/>
      <c r="H18" s="46"/>
    </row>
    <row r="19" customFormat="false" ht="19.5" hidden="false" customHeight="true" outlineLevel="0" collapsed="false">
      <c r="A19" s="39" t="n">
        <v>14</v>
      </c>
      <c r="B19" s="50" t="s">
        <v>400</v>
      </c>
      <c r="C19" s="12"/>
      <c r="D19" s="46"/>
      <c r="E19" s="32"/>
      <c r="F19" s="32"/>
      <c r="G19" s="32"/>
      <c r="H19" s="46"/>
    </row>
    <row r="20" customFormat="false" ht="19.5" hidden="false" customHeight="true" outlineLevel="0" collapsed="false">
      <c r="A20" s="39" t="n">
        <v>15</v>
      </c>
      <c r="B20" s="50" t="s">
        <v>400</v>
      </c>
      <c r="C20" s="12"/>
      <c r="D20" s="46"/>
      <c r="E20" s="32"/>
      <c r="F20" s="32"/>
      <c r="G20" s="32"/>
      <c r="H20" s="46"/>
    </row>
    <row r="21" customFormat="false" ht="19.5" hidden="false" customHeight="true" outlineLevel="0" collapsed="false">
      <c r="A21" s="39" t="n">
        <v>16</v>
      </c>
      <c r="B21" s="50" t="s">
        <v>400</v>
      </c>
      <c r="C21" s="12"/>
      <c r="D21" s="46"/>
      <c r="E21" s="32"/>
      <c r="F21" s="32"/>
      <c r="G21" s="32"/>
      <c r="H21" s="46"/>
    </row>
    <row r="22" customFormat="false" ht="19.5" hidden="false" customHeight="true" outlineLevel="0" collapsed="false">
      <c r="A22" s="39" t="n">
        <v>17</v>
      </c>
      <c r="B22" s="50" t="s">
        <v>400</v>
      </c>
      <c r="C22" s="12"/>
      <c r="D22" s="46"/>
      <c r="E22" s="32"/>
      <c r="F22" s="32"/>
      <c r="G22" s="32"/>
      <c r="H22" s="46"/>
    </row>
    <row r="23" customFormat="false" ht="19.5" hidden="false" customHeight="true" outlineLevel="0" collapsed="false">
      <c r="A23" s="39" t="n">
        <v>18</v>
      </c>
      <c r="B23" s="50" t="s">
        <v>400</v>
      </c>
      <c r="C23" s="12"/>
      <c r="D23" s="46"/>
      <c r="E23" s="32"/>
      <c r="F23" s="32"/>
      <c r="G23" s="32"/>
      <c r="H23" s="46"/>
    </row>
    <row r="24" customFormat="false" ht="19.5" hidden="false" customHeight="true" outlineLevel="0" collapsed="false">
      <c r="A24" s="39" t="n">
        <v>19</v>
      </c>
      <c r="B24" s="50" t="s">
        <v>400</v>
      </c>
      <c r="C24" s="12"/>
      <c r="D24" s="46"/>
      <c r="E24" s="32"/>
      <c r="F24" s="32"/>
      <c r="G24" s="32"/>
      <c r="H24" s="46"/>
    </row>
    <row r="25" customFormat="false" ht="19.5" hidden="false" customHeight="true" outlineLevel="0" collapsed="false">
      <c r="A25" s="39" t="n">
        <v>20</v>
      </c>
      <c r="B25" s="50" t="s">
        <v>400</v>
      </c>
      <c r="C25" s="12"/>
      <c r="D25" s="46"/>
      <c r="E25" s="32"/>
      <c r="F25" s="32"/>
      <c r="G25" s="32"/>
      <c r="H25" s="46"/>
    </row>
    <row r="26" customFormat="false" ht="19.5" hidden="false" customHeight="true" outlineLevel="0" collapsed="false">
      <c r="A26" s="39" t="n">
        <v>21</v>
      </c>
      <c r="B26" s="50" t="s">
        <v>400</v>
      </c>
      <c r="C26" s="12"/>
      <c r="D26" s="46"/>
      <c r="E26" s="32"/>
      <c r="F26" s="32"/>
      <c r="G26" s="32"/>
      <c r="H26" s="46"/>
    </row>
    <row r="27" customFormat="false" ht="19.5" hidden="false" customHeight="true" outlineLevel="0" collapsed="false">
      <c r="A27" s="39" t="n">
        <v>22</v>
      </c>
      <c r="B27" s="50" t="s">
        <v>400</v>
      </c>
      <c r="C27" s="12"/>
      <c r="D27" s="46"/>
      <c r="E27" s="32"/>
      <c r="F27" s="32"/>
      <c r="G27" s="32"/>
      <c r="H27" s="46"/>
    </row>
    <row r="28" customFormat="false" ht="19.5" hidden="false" customHeight="true" outlineLevel="0" collapsed="false">
      <c r="A28" s="39" t="n">
        <v>23</v>
      </c>
      <c r="B28" s="50" t="s">
        <v>400</v>
      </c>
      <c r="C28" s="12"/>
      <c r="D28" s="46"/>
      <c r="E28" s="32"/>
      <c r="F28" s="32"/>
      <c r="G28" s="32"/>
      <c r="H28" s="46"/>
    </row>
    <row r="29" customFormat="false" ht="19.5" hidden="false" customHeight="true" outlineLevel="0" collapsed="false">
      <c r="A29" s="39" t="n">
        <v>24</v>
      </c>
      <c r="B29" s="50" t="s">
        <v>400</v>
      </c>
      <c r="C29" s="12"/>
      <c r="D29" s="46"/>
      <c r="E29" s="32"/>
      <c r="F29" s="32"/>
      <c r="G29" s="32"/>
      <c r="H29" s="46"/>
    </row>
    <row r="30" customFormat="false" ht="19.5" hidden="false" customHeight="true" outlineLevel="0" collapsed="false">
      <c r="A30" s="39" t="n">
        <v>25</v>
      </c>
      <c r="B30" s="50" t="s">
        <v>400</v>
      </c>
      <c r="C30" s="12"/>
      <c r="D30" s="46"/>
      <c r="E30" s="32"/>
      <c r="F30" s="32"/>
      <c r="G30" s="32"/>
      <c r="H30" s="46"/>
    </row>
    <row r="31" customFormat="false" ht="19.5" hidden="false" customHeight="true" outlineLevel="0" collapsed="false">
      <c r="A31" s="39" t="n">
        <v>26</v>
      </c>
      <c r="B31" s="50" t="s">
        <v>400</v>
      </c>
      <c r="C31" s="12"/>
      <c r="D31" s="46"/>
      <c r="E31" s="32"/>
      <c r="F31" s="32"/>
      <c r="G31" s="32"/>
      <c r="H31" s="46"/>
    </row>
    <row r="32" customFormat="false" ht="19.5" hidden="false" customHeight="true" outlineLevel="0" collapsed="false">
      <c r="A32" s="39" t="n">
        <v>27</v>
      </c>
      <c r="B32" s="50" t="s">
        <v>400</v>
      </c>
      <c r="C32" s="12"/>
      <c r="D32" s="46"/>
      <c r="E32" s="32"/>
      <c r="F32" s="32"/>
      <c r="G32" s="32"/>
      <c r="H32" s="46"/>
    </row>
    <row r="33" customFormat="false" ht="19.5" hidden="false" customHeight="true" outlineLevel="0" collapsed="false">
      <c r="A33" s="39" t="n">
        <v>28</v>
      </c>
      <c r="B33" s="50" t="s">
        <v>400</v>
      </c>
      <c r="C33" s="12"/>
      <c r="D33" s="46"/>
      <c r="E33" s="32"/>
      <c r="F33" s="32"/>
      <c r="G33" s="32"/>
      <c r="H33" s="46"/>
    </row>
    <row r="34" customFormat="false" ht="19.5" hidden="false" customHeight="true" outlineLevel="0" collapsed="false">
      <c r="A34" s="39" t="n">
        <v>29</v>
      </c>
      <c r="B34" s="50" t="s">
        <v>400</v>
      </c>
      <c r="C34" s="12"/>
      <c r="D34" s="46"/>
      <c r="E34" s="32"/>
      <c r="F34" s="32"/>
      <c r="G34" s="32"/>
      <c r="H34" s="46"/>
    </row>
    <row r="35" customFormat="false" ht="19.5" hidden="false" customHeight="true" outlineLevel="0" collapsed="false">
      <c r="A35" s="39" t="n">
        <v>30</v>
      </c>
      <c r="B35" s="50" t="s">
        <v>400</v>
      </c>
      <c r="C35" s="12"/>
      <c r="D35" s="46"/>
      <c r="E35" s="32"/>
      <c r="F35" s="32"/>
      <c r="G35" s="32"/>
      <c r="H35" s="46"/>
    </row>
    <row r="36" customFormat="false" ht="19.5" hidden="false" customHeight="true" outlineLevel="0" collapsed="false">
      <c r="A36" s="39" t="n">
        <v>31</v>
      </c>
      <c r="B36" s="50" t="s">
        <v>400</v>
      </c>
      <c r="C36" s="12"/>
      <c r="D36" s="46"/>
      <c r="E36" s="32"/>
      <c r="F36" s="32"/>
      <c r="G36" s="32"/>
      <c r="H36" s="46"/>
    </row>
    <row r="37" customFormat="false" ht="19.5" hidden="false" customHeight="true" outlineLevel="0" collapsed="false">
      <c r="A37" s="39" t="n">
        <v>32</v>
      </c>
      <c r="B37" s="50" t="s">
        <v>400</v>
      </c>
      <c r="C37" s="12"/>
      <c r="D37" s="46"/>
      <c r="E37" s="32"/>
      <c r="F37" s="32"/>
      <c r="G37" s="32"/>
      <c r="H37" s="46"/>
    </row>
    <row r="38" customFormat="false" ht="19.5" hidden="false" customHeight="true" outlineLevel="0" collapsed="false">
      <c r="A38" s="39" t="n">
        <v>33</v>
      </c>
      <c r="B38" s="50" t="s">
        <v>400</v>
      </c>
      <c r="C38" s="12"/>
      <c r="D38" s="46"/>
      <c r="E38" s="32"/>
      <c r="F38" s="32"/>
      <c r="G38" s="32"/>
      <c r="H38" s="46"/>
    </row>
    <row r="39" customFormat="false" ht="19.5" hidden="false" customHeight="true" outlineLevel="0" collapsed="false">
      <c r="A39" s="39" t="n">
        <v>34</v>
      </c>
      <c r="B39" s="50" t="s">
        <v>400</v>
      </c>
      <c r="C39" s="12"/>
      <c r="D39" s="46"/>
      <c r="E39" s="32"/>
      <c r="F39" s="32"/>
      <c r="G39" s="32"/>
      <c r="H39" s="46"/>
    </row>
    <row r="40" customFormat="false" ht="19.5" hidden="false" customHeight="true" outlineLevel="0" collapsed="false">
      <c r="A40" s="39" t="n">
        <v>35</v>
      </c>
      <c r="B40" s="50" t="s">
        <v>400</v>
      </c>
      <c r="C40" s="12"/>
      <c r="D40" s="46"/>
      <c r="E40" s="32"/>
      <c r="F40" s="32"/>
      <c r="G40" s="32"/>
      <c r="H40" s="46"/>
    </row>
    <row r="41" customFormat="false" ht="19.5" hidden="false" customHeight="true" outlineLevel="0" collapsed="false">
      <c r="A41" s="39" t="n">
        <v>36</v>
      </c>
      <c r="B41" s="50" t="s">
        <v>400</v>
      </c>
      <c r="C41" s="12"/>
      <c r="D41" s="46"/>
      <c r="E41" s="32"/>
      <c r="F41" s="32"/>
      <c r="G41" s="32"/>
      <c r="H41" s="46"/>
    </row>
    <row r="42" customFormat="false" ht="19.5" hidden="false" customHeight="true" outlineLevel="0" collapsed="false">
      <c r="A42" s="39" t="n">
        <v>37</v>
      </c>
      <c r="B42" s="50" t="s">
        <v>400</v>
      </c>
      <c r="C42" s="12"/>
      <c r="D42" s="46"/>
      <c r="E42" s="32"/>
      <c r="F42" s="32"/>
      <c r="G42" s="32"/>
      <c r="H42" s="46"/>
    </row>
    <row r="43" customFormat="false" ht="19.5" hidden="false" customHeight="true" outlineLevel="0" collapsed="false">
      <c r="A43" s="39" t="n">
        <v>38</v>
      </c>
      <c r="B43" s="50" t="s">
        <v>400</v>
      </c>
      <c r="C43" s="12"/>
      <c r="D43" s="46"/>
      <c r="E43" s="32"/>
      <c r="F43" s="32"/>
      <c r="G43" s="32"/>
      <c r="H43" s="46"/>
    </row>
    <row r="44" customFormat="false" ht="19.5" hidden="false" customHeight="true" outlineLevel="0" collapsed="false">
      <c r="A44" s="39" t="n">
        <v>39</v>
      </c>
      <c r="B44" s="50" t="s">
        <v>400</v>
      </c>
      <c r="C44" s="12"/>
      <c r="D44" s="46"/>
      <c r="E44" s="32"/>
      <c r="F44" s="32"/>
      <c r="G44" s="32"/>
      <c r="H44" s="46"/>
    </row>
    <row r="45" customFormat="false" ht="19.5" hidden="false" customHeight="true" outlineLevel="0" collapsed="false">
      <c r="A45" s="39" t="n">
        <v>40</v>
      </c>
      <c r="B45" s="50" t="s">
        <v>400</v>
      </c>
      <c r="C45" s="12"/>
      <c r="D45" s="46"/>
      <c r="E45" s="32"/>
      <c r="F45" s="32"/>
      <c r="G45" s="32"/>
      <c r="H45" s="46"/>
    </row>
    <row r="46" customFormat="false" ht="19.5" hidden="false" customHeight="true" outlineLevel="0" collapsed="false">
      <c r="A46" s="39" t="n">
        <v>41</v>
      </c>
      <c r="B46" s="50" t="s">
        <v>400</v>
      </c>
      <c r="C46" s="12"/>
      <c r="D46" s="46"/>
      <c r="E46" s="32"/>
      <c r="F46" s="32"/>
      <c r="G46" s="32"/>
      <c r="H46" s="46"/>
    </row>
    <row r="47" customFormat="false" ht="19.5" hidden="false" customHeight="true" outlineLevel="0" collapsed="false">
      <c r="A47" s="39" t="n">
        <v>42</v>
      </c>
      <c r="B47" s="50" t="s">
        <v>400</v>
      </c>
      <c r="C47" s="12"/>
      <c r="D47" s="46"/>
      <c r="E47" s="32"/>
      <c r="F47" s="32"/>
      <c r="G47" s="32"/>
      <c r="H47" s="46"/>
    </row>
    <row r="48" customFormat="false" ht="19.5" hidden="false" customHeight="true" outlineLevel="0" collapsed="false">
      <c r="A48" s="39" t="n">
        <v>43</v>
      </c>
      <c r="B48" s="50" t="s">
        <v>400</v>
      </c>
      <c r="C48" s="12"/>
      <c r="D48" s="46"/>
      <c r="E48" s="32"/>
      <c r="F48" s="32"/>
      <c r="G48" s="32"/>
      <c r="H48" s="46"/>
    </row>
    <row r="49" customFormat="false" ht="19.5" hidden="false" customHeight="true" outlineLevel="0" collapsed="false">
      <c r="A49" s="39" t="n">
        <v>44</v>
      </c>
      <c r="B49" s="50" t="s">
        <v>400</v>
      </c>
      <c r="C49" s="12"/>
      <c r="D49" s="46"/>
      <c r="E49" s="32"/>
      <c r="F49" s="32"/>
      <c r="G49" s="32"/>
      <c r="H49" s="46"/>
    </row>
    <row r="50" customFormat="false" ht="19.5" hidden="false" customHeight="true" outlineLevel="0" collapsed="false">
      <c r="A50" s="39" t="n">
        <v>45</v>
      </c>
      <c r="B50" s="50" t="s">
        <v>400</v>
      </c>
      <c r="C50" s="12"/>
      <c r="D50" s="46"/>
      <c r="E50" s="32"/>
      <c r="F50" s="32"/>
      <c r="G50" s="32"/>
      <c r="H50" s="46"/>
    </row>
    <row r="51" customFormat="false" ht="19.5" hidden="false" customHeight="true" outlineLevel="0" collapsed="false">
      <c r="A51" s="39" t="n">
        <v>46</v>
      </c>
      <c r="B51" s="50" t="s">
        <v>400</v>
      </c>
      <c r="C51" s="12"/>
      <c r="D51" s="46"/>
      <c r="E51" s="32"/>
      <c r="F51" s="32"/>
      <c r="G51" s="32"/>
      <c r="H51" s="46"/>
    </row>
    <row r="52" customFormat="false" ht="19.5" hidden="false" customHeight="true" outlineLevel="0" collapsed="false">
      <c r="A52" s="39" t="n">
        <v>47</v>
      </c>
      <c r="B52" s="50" t="s">
        <v>400</v>
      </c>
      <c r="C52" s="12"/>
      <c r="D52" s="46"/>
      <c r="E52" s="32"/>
      <c r="F52" s="32"/>
      <c r="G52" s="32"/>
      <c r="H52" s="46"/>
    </row>
    <row r="53" customFormat="false" ht="19.5" hidden="false" customHeight="true" outlineLevel="0" collapsed="false">
      <c r="A53" s="39" t="n">
        <v>48</v>
      </c>
      <c r="B53" s="50" t="s">
        <v>400</v>
      </c>
      <c r="C53" s="12"/>
      <c r="D53" s="46"/>
      <c r="E53" s="32"/>
      <c r="F53" s="32"/>
      <c r="G53" s="32"/>
      <c r="H53" s="46"/>
    </row>
    <row r="54" customFormat="false" ht="19.5" hidden="false" customHeight="true" outlineLevel="0" collapsed="false">
      <c r="A54" s="39" t="n">
        <v>49</v>
      </c>
      <c r="B54" s="50" t="s">
        <v>400</v>
      </c>
      <c r="C54" s="12"/>
      <c r="D54" s="46"/>
      <c r="E54" s="32"/>
      <c r="F54" s="32"/>
      <c r="G54" s="32"/>
      <c r="H54" s="46"/>
    </row>
    <row r="55" customFormat="false" ht="19.5" hidden="false" customHeight="true" outlineLevel="0" collapsed="false">
      <c r="A55" s="39" t="n">
        <v>50</v>
      </c>
      <c r="B55" s="50" t="s">
        <v>400</v>
      </c>
      <c r="C55" s="12"/>
      <c r="D55" s="46"/>
      <c r="E55" s="32"/>
      <c r="F55" s="32"/>
      <c r="G55" s="32"/>
      <c r="H55" s="46"/>
    </row>
    <row r="56" customFormat="false" ht="19.5" hidden="false" customHeight="true" outlineLevel="0" collapsed="false">
      <c r="A56" s="39" t="n">
        <v>51</v>
      </c>
      <c r="B56" s="50" t="s">
        <v>400</v>
      </c>
      <c r="C56" s="12"/>
      <c r="D56" s="46"/>
      <c r="E56" s="32"/>
      <c r="F56" s="32"/>
      <c r="G56" s="32"/>
      <c r="H56" s="46"/>
    </row>
    <row r="57" customFormat="false" ht="19.5" hidden="false" customHeight="true" outlineLevel="0" collapsed="false">
      <c r="A57" s="39" t="n">
        <v>52</v>
      </c>
      <c r="B57" s="50" t="s">
        <v>400</v>
      </c>
      <c r="C57" s="12"/>
      <c r="D57" s="46"/>
      <c r="E57" s="32"/>
      <c r="F57" s="32"/>
      <c r="G57" s="32"/>
      <c r="H57" s="46"/>
    </row>
    <row r="58" customFormat="false" ht="19.5" hidden="false" customHeight="true" outlineLevel="0" collapsed="false">
      <c r="A58" s="39" t="n">
        <v>53</v>
      </c>
      <c r="B58" s="50" t="s">
        <v>400</v>
      </c>
      <c r="C58" s="12"/>
      <c r="D58" s="46"/>
      <c r="E58" s="32"/>
      <c r="F58" s="32"/>
      <c r="G58" s="32"/>
      <c r="H58" s="46"/>
    </row>
    <row r="59" customFormat="false" ht="19.5" hidden="false" customHeight="true" outlineLevel="0" collapsed="false">
      <c r="A59" s="39" t="n">
        <v>54</v>
      </c>
      <c r="B59" s="50" t="s">
        <v>400</v>
      </c>
      <c r="C59" s="12"/>
      <c r="D59" s="46"/>
      <c r="E59" s="32"/>
      <c r="F59" s="32"/>
      <c r="G59" s="32"/>
      <c r="H59" s="46"/>
    </row>
    <row r="60" customFormat="false" ht="19.5" hidden="false" customHeight="true" outlineLevel="0" collapsed="false">
      <c r="A60" s="39" t="n">
        <v>55</v>
      </c>
      <c r="B60" s="50" t="s">
        <v>400</v>
      </c>
      <c r="C60" s="12"/>
      <c r="D60" s="46"/>
      <c r="E60" s="32"/>
      <c r="F60" s="32"/>
      <c r="G60" s="32"/>
      <c r="H60" s="46"/>
    </row>
    <row r="61" customFormat="false" ht="19.5" hidden="false" customHeight="true" outlineLevel="0" collapsed="false">
      <c r="A61" s="39" t="n">
        <v>56</v>
      </c>
      <c r="B61" s="50" t="s">
        <v>400</v>
      </c>
      <c r="C61" s="12"/>
      <c r="D61" s="46"/>
      <c r="E61" s="32"/>
      <c r="F61" s="32"/>
      <c r="G61" s="32"/>
      <c r="H61" s="46"/>
    </row>
    <row r="62" customFormat="false" ht="19.5" hidden="false" customHeight="true" outlineLevel="0" collapsed="false">
      <c r="A62" s="39" t="n">
        <v>57</v>
      </c>
      <c r="B62" s="50" t="s">
        <v>400</v>
      </c>
      <c r="C62" s="12"/>
      <c r="D62" s="46"/>
      <c r="E62" s="32"/>
      <c r="F62" s="32"/>
      <c r="G62" s="32"/>
      <c r="H62" s="46"/>
    </row>
    <row r="63" customFormat="false" ht="19.5" hidden="false" customHeight="true" outlineLevel="0" collapsed="false">
      <c r="A63" s="39" t="n">
        <v>58</v>
      </c>
      <c r="B63" s="50" t="s">
        <v>400</v>
      </c>
      <c r="C63" s="12"/>
      <c r="D63" s="46"/>
      <c r="E63" s="32"/>
      <c r="F63" s="32"/>
      <c r="G63" s="32"/>
      <c r="H63" s="46"/>
    </row>
    <row r="64" customFormat="false" ht="19.5" hidden="false" customHeight="true" outlineLevel="0" collapsed="false">
      <c r="A64" s="39" t="n">
        <v>59</v>
      </c>
      <c r="B64" s="50" t="s">
        <v>400</v>
      </c>
      <c r="C64" s="12"/>
      <c r="D64" s="46"/>
      <c r="E64" s="32"/>
      <c r="F64" s="32"/>
      <c r="G64" s="32"/>
      <c r="H64" s="46"/>
    </row>
    <row r="65" customFormat="false" ht="19.5" hidden="false" customHeight="true" outlineLevel="0" collapsed="false">
      <c r="A65" s="39" t="n">
        <v>60</v>
      </c>
      <c r="B65" s="50" t="s">
        <v>400</v>
      </c>
      <c r="C65" s="12"/>
      <c r="D65" s="46"/>
      <c r="E65" s="32"/>
      <c r="F65" s="32"/>
      <c r="G65" s="32"/>
      <c r="H65" s="46"/>
    </row>
    <row r="66" customFormat="false" ht="19.5" hidden="false" customHeight="true" outlineLevel="0" collapsed="false">
      <c r="A66" s="39" t="n">
        <v>61</v>
      </c>
      <c r="B66" s="50" t="s">
        <v>400</v>
      </c>
      <c r="C66" s="12"/>
      <c r="D66" s="46"/>
      <c r="E66" s="32"/>
      <c r="F66" s="32"/>
      <c r="G66" s="32"/>
      <c r="H66" s="46"/>
    </row>
    <row r="67" customFormat="false" ht="19.5" hidden="false" customHeight="true" outlineLevel="0" collapsed="false">
      <c r="A67" s="39" t="n">
        <v>62</v>
      </c>
      <c r="B67" s="50" t="s">
        <v>400</v>
      </c>
      <c r="C67" s="12"/>
      <c r="D67" s="46"/>
      <c r="E67" s="32"/>
      <c r="F67" s="32"/>
      <c r="G67" s="32"/>
      <c r="H67" s="46"/>
    </row>
    <row r="68" customFormat="false" ht="19.5" hidden="false" customHeight="true" outlineLevel="0" collapsed="false">
      <c r="A68" s="39" t="n">
        <v>63</v>
      </c>
      <c r="B68" s="50" t="s">
        <v>400</v>
      </c>
      <c r="C68" s="12"/>
      <c r="D68" s="46"/>
      <c r="E68" s="32"/>
      <c r="F68" s="32"/>
      <c r="G68" s="32"/>
      <c r="H68" s="46"/>
    </row>
    <row r="69" customFormat="false" ht="19.5" hidden="false" customHeight="true" outlineLevel="0" collapsed="false">
      <c r="A69" s="39" t="n">
        <v>64</v>
      </c>
      <c r="B69" s="50" t="s">
        <v>400</v>
      </c>
      <c r="C69" s="12"/>
      <c r="D69" s="46"/>
      <c r="E69" s="32"/>
      <c r="F69" s="32"/>
      <c r="G69" s="32"/>
      <c r="H69" s="46"/>
    </row>
    <row r="70" customFormat="false" ht="19.5" hidden="false" customHeight="true" outlineLevel="0" collapsed="false">
      <c r="A70" s="39" t="n">
        <v>65</v>
      </c>
      <c r="B70" s="50" t="s">
        <v>400</v>
      </c>
      <c r="C70" s="12"/>
      <c r="D70" s="46"/>
      <c r="E70" s="32"/>
      <c r="F70" s="32"/>
      <c r="G70" s="32"/>
      <c r="H70" s="46"/>
    </row>
    <row r="71" customFormat="false" ht="19.5" hidden="false" customHeight="true" outlineLevel="0" collapsed="false">
      <c r="A71" s="39" t="n">
        <v>66</v>
      </c>
      <c r="B71" s="50" t="s">
        <v>400</v>
      </c>
      <c r="C71" s="12"/>
      <c r="D71" s="46"/>
      <c r="E71" s="32"/>
      <c r="F71" s="32"/>
      <c r="G71" s="32"/>
      <c r="H71" s="46"/>
    </row>
    <row r="72" customFormat="false" ht="19.5" hidden="false" customHeight="true" outlineLevel="0" collapsed="false">
      <c r="A72" s="39" t="n">
        <v>67</v>
      </c>
      <c r="B72" s="50" t="s">
        <v>400</v>
      </c>
      <c r="C72" s="12"/>
      <c r="D72" s="46"/>
      <c r="E72" s="32"/>
      <c r="F72" s="32"/>
      <c r="G72" s="32"/>
      <c r="H72" s="46"/>
    </row>
    <row r="73" customFormat="false" ht="19.5" hidden="false" customHeight="true" outlineLevel="0" collapsed="false">
      <c r="A73" s="39" t="n">
        <v>68</v>
      </c>
      <c r="B73" s="50" t="s">
        <v>400</v>
      </c>
      <c r="C73" s="12"/>
      <c r="D73" s="46"/>
      <c r="E73" s="32"/>
      <c r="F73" s="32"/>
      <c r="G73" s="32"/>
      <c r="H73" s="46"/>
    </row>
    <row r="74" customFormat="false" ht="19.5" hidden="false" customHeight="true" outlineLevel="0" collapsed="false">
      <c r="A74" s="39" t="n">
        <v>69</v>
      </c>
      <c r="B74" s="50" t="s">
        <v>400</v>
      </c>
      <c r="C74" s="12"/>
      <c r="D74" s="46"/>
      <c r="E74" s="32"/>
      <c r="F74" s="32"/>
      <c r="G74" s="32"/>
      <c r="H74" s="46"/>
    </row>
    <row r="75" customFormat="false" ht="19.5" hidden="false" customHeight="true" outlineLevel="0" collapsed="false">
      <c r="A75" s="39" t="n">
        <v>70</v>
      </c>
      <c r="B75" s="50" t="s">
        <v>400</v>
      </c>
      <c r="C75" s="12"/>
      <c r="D75" s="46"/>
      <c r="E75" s="32"/>
      <c r="F75" s="32"/>
      <c r="G75" s="32"/>
      <c r="H75" s="46"/>
    </row>
    <row r="76" customFormat="false" ht="19.5" hidden="false" customHeight="true" outlineLevel="0" collapsed="false">
      <c r="A76" s="39" t="n">
        <v>71</v>
      </c>
      <c r="B76" s="50" t="s">
        <v>400</v>
      </c>
      <c r="C76" s="12"/>
      <c r="D76" s="46"/>
      <c r="E76" s="32"/>
      <c r="F76" s="32"/>
      <c r="G76" s="32"/>
      <c r="H76" s="46"/>
    </row>
    <row r="77" customFormat="false" ht="19.5" hidden="false" customHeight="true" outlineLevel="0" collapsed="false">
      <c r="A77" s="39" t="n">
        <v>72</v>
      </c>
      <c r="B77" s="50" t="s">
        <v>400</v>
      </c>
      <c r="C77" s="12"/>
      <c r="D77" s="46"/>
      <c r="E77" s="32"/>
      <c r="F77" s="32"/>
      <c r="G77" s="32"/>
      <c r="H77" s="46"/>
    </row>
    <row r="78" customFormat="false" ht="19.5" hidden="false" customHeight="true" outlineLevel="0" collapsed="false">
      <c r="A78" s="39" t="n">
        <v>73</v>
      </c>
      <c r="B78" s="50" t="s">
        <v>400</v>
      </c>
      <c r="C78" s="12"/>
      <c r="D78" s="46"/>
      <c r="E78" s="32"/>
      <c r="F78" s="32"/>
      <c r="G78" s="32"/>
      <c r="H78" s="46"/>
    </row>
    <row r="79" customFormat="false" ht="19.5" hidden="false" customHeight="true" outlineLevel="0" collapsed="false">
      <c r="A79" s="39" t="n">
        <v>74</v>
      </c>
      <c r="B79" s="50" t="s">
        <v>400</v>
      </c>
      <c r="C79" s="12"/>
      <c r="D79" s="46"/>
      <c r="E79" s="32"/>
      <c r="F79" s="32"/>
      <c r="G79" s="32"/>
      <c r="H79" s="46"/>
    </row>
    <row r="80" customFormat="false" ht="19.5" hidden="false" customHeight="true" outlineLevel="0" collapsed="false">
      <c r="A80" s="39" t="n">
        <v>75</v>
      </c>
      <c r="B80" s="50" t="s">
        <v>400</v>
      </c>
      <c r="C80" s="12"/>
      <c r="D80" s="46"/>
      <c r="E80" s="32"/>
      <c r="F80" s="32"/>
      <c r="G80" s="32"/>
      <c r="H80" s="46"/>
    </row>
    <row r="81" customFormat="false" ht="19.5" hidden="false" customHeight="true" outlineLevel="0" collapsed="false">
      <c r="A81" s="39" t="n">
        <v>76</v>
      </c>
      <c r="B81" s="50" t="s">
        <v>400</v>
      </c>
      <c r="C81" s="12"/>
      <c r="D81" s="46"/>
      <c r="E81" s="32"/>
      <c r="F81" s="32"/>
      <c r="G81" s="32"/>
      <c r="H81" s="46"/>
    </row>
    <row r="82" customFormat="false" ht="19.5" hidden="false" customHeight="true" outlineLevel="0" collapsed="false">
      <c r="A82" s="39" t="n">
        <v>77</v>
      </c>
      <c r="B82" s="50" t="s">
        <v>400</v>
      </c>
      <c r="C82" s="12"/>
      <c r="D82" s="46"/>
      <c r="E82" s="32"/>
      <c r="F82" s="32"/>
      <c r="G82" s="32"/>
      <c r="H82" s="46"/>
    </row>
    <row r="83" customFormat="false" ht="19.5" hidden="false" customHeight="true" outlineLevel="0" collapsed="false">
      <c r="A83" s="39" t="n">
        <v>78</v>
      </c>
      <c r="B83" s="50" t="s">
        <v>400</v>
      </c>
      <c r="C83" s="12"/>
      <c r="D83" s="46"/>
      <c r="E83" s="32"/>
      <c r="F83" s="32"/>
      <c r="G83" s="32"/>
      <c r="H83" s="46"/>
    </row>
    <row r="84" customFormat="false" ht="19.5" hidden="false" customHeight="true" outlineLevel="0" collapsed="false">
      <c r="A84" s="39" t="n">
        <v>79</v>
      </c>
      <c r="B84" s="50" t="s">
        <v>400</v>
      </c>
      <c r="C84" s="12"/>
      <c r="D84" s="46"/>
      <c r="E84" s="32"/>
      <c r="F84" s="32"/>
      <c r="G84" s="32"/>
      <c r="H84" s="46"/>
    </row>
    <row r="85" customFormat="false" ht="19.5" hidden="false" customHeight="true" outlineLevel="0" collapsed="false">
      <c r="A85" s="39" t="n">
        <v>80</v>
      </c>
      <c r="B85" s="50" t="s">
        <v>400</v>
      </c>
      <c r="C85" s="12"/>
      <c r="D85" s="46"/>
      <c r="E85" s="32"/>
      <c r="F85" s="32"/>
      <c r="G85" s="32"/>
      <c r="H85" s="46"/>
    </row>
    <row r="86" customFormat="false" ht="19.5" hidden="false" customHeight="true" outlineLevel="0" collapsed="false">
      <c r="A86" s="39" t="n">
        <v>81</v>
      </c>
      <c r="B86" s="50" t="s">
        <v>400</v>
      </c>
      <c r="C86" s="12"/>
      <c r="D86" s="46"/>
      <c r="E86" s="32"/>
      <c r="F86" s="32"/>
      <c r="G86" s="32"/>
      <c r="H86" s="46"/>
    </row>
    <row r="87" customFormat="false" ht="19.5" hidden="false" customHeight="true" outlineLevel="0" collapsed="false">
      <c r="A87" s="39" t="n">
        <v>82</v>
      </c>
      <c r="B87" s="50" t="s">
        <v>400</v>
      </c>
      <c r="C87" s="12"/>
      <c r="D87" s="46"/>
      <c r="E87" s="32"/>
      <c r="F87" s="32"/>
      <c r="G87" s="32"/>
      <c r="H87" s="46"/>
    </row>
    <row r="88" customFormat="false" ht="19.5" hidden="false" customHeight="true" outlineLevel="0" collapsed="false">
      <c r="A88" s="39" t="n">
        <v>83</v>
      </c>
      <c r="B88" s="50" t="s">
        <v>400</v>
      </c>
      <c r="C88" s="12"/>
      <c r="D88" s="46"/>
      <c r="E88" s="32"/>
      <c r="F88" s="32"/>
      <c r="G88" s="32"/>
      <c r="H88" s="46"/>
    </row>
    <row r="89" customFormat="false" ht="19.5" hidden="false" customHeight="true" outlineLevel="0" collapsed="false">
      <c r="A89" s="39" t="n">
        <v>84</v>
      </c>
      <c r="B89" s="50" t="s">
        <v>400</v>
      </c>
      <c r="C89" s="12"/>
      <c r="D89" s="46"/>
      <c r="E89" s="32"/>
      <c r="F89" s="32"/>
      <c r="G89" s="32"/>
      <c r="H89" s="46"/>
    </row>
    <row r="90" customFormat="false" ht="19.5" hidden="false" customHeight="true" outlineLevel="0" collapsed="false">
      <c r="A90" s="39" t="n">
        <v>85</v>
      </c>
      <c r="B90" s="50" t="s">
        <v>400</v>
      </c>
      <c r="C90" s="12"/>
      <c r="D90" s="46"/>
      <c r="E90" s="32"/>
      <c r="F90" s="32"/>
      <c r="G90" s="32"/>
      <c r="H90" s="46"/>
    </row>
    <row r="91" customFormat="false" ht="19.5" hidden="false" customHeight="true" outlineLevel="0" collapsed="false">
      <c r="A91" s="39" t="n">
        <v>86</v>
      </c>
      <c r="B91" s="50" t="s">
        <v>400</v>
      </c>
      <c r="C91" s="12"/>
      <c r="D91" s="46"/>
      <c r="E91" s="32"/>
      <c r="F91" s="32"/>
      <c r="G91" s="32"/>
      <c r="H91" s="46"/>
    </row>
    <row r="92" customFormat="false" ht="19.5" hidden="false" customHeight="true" outlineLevel="0" collapsed="false">
      <c r="A92" s="39" t="n">
        <v>87</v>
      </c>
      <c r="B92" s="50" t="s">
        <v>400</v>
      </c>
      <c r="C92" s="12"/>
      <c r="D92" s="46"/>
      <c r="E92" s="32"/>
      <c r="F92" s="32"/>
      <c r="G92" s="32"/>
      <c r="H92" s="46"/>
    </row>
    <row r="93" customFormat="false" ht="19.5" hidden="false" customHeight="true" outlineLevel="0" collapsed="false">
      <c r="A93" s="39" t="n">
        <v>88</v>
      </c>
      <c r="B93" s="50" t="s">
        <v>400</v>
      </c>
      <c r="C93" s="12"/>
      <c r="D93" s="46"/>
      <c r="E93" s="32"/>
      <c r="F93" s="32"/>
      <c r="G93" s="32"/>
      <c r="H93" s="46"/>
    </row>
    <row r="94" customFormat="false" ht="19.5" hidden="false" customHeight="true" outlineLevel="0" collapsed="false">
      <c r="A94" s="39" t="n">
        <v>89</v>
      </c>
      <c r="B94" s="50" t="s">
        <v>400</v>
      </c>
      <c r="C94" s="12"/>
      <c r="D94" s="46"/>
      <c r="E94" s="32"/>
      <c r="F94" s="32"/>
      <c r="G94" s="32"/>
      <c r="H94" s="46"/>
    </row>
    <row r="95" customFormat="false" ht="19.5" hidden="false" customHeight="true" outlineLevel="0" collapsed="false">
      <c r="A95" s="39" t="n">
        <v>90</v>
      </c>
      <c r="B95" s="50" t="s">
        <v>400</v>
      </c>
      <c r="C95" s="12"/>
      <c r="D95" s="46"/>
      <c r="E95" s="32"/>
      <c r="F95" s="32"/>
      <c r="G95" s="32"/>
      <c r="H95" s="46"/>
    </row>
    <row r="96" customFormat="false" ht="19.5" hidden="false" customHeight="true" outlineLevel="0" collapsed="false">
      <c r="A96" s="39" t="n">
        <v>91</v>
      </c>
      <c r="B96" s="50" t="s">
        <v>400</v>
      </c>
      <c r="C96" s="12"/>
      <c r="D96" s="46"/>
      <c r="E96" s="32"/>
      <c r="F96" s="32"/>
      <c r="G96" s="32"/>
      <c r="H96" s="46"/>
    </row>
    <row r="97" customFormat="false" ht="19.5" hidden="false" customHeight="true" outlineLevel="0" collapsed="false">
      <c r="A97" s="39" t="n">
        <v>92</v>
      </c>
      <c r="B97" s="50" t="s">
        <v>400</v>
      </c>
      <c r="C97" s="12"/>
      <c r="D97" s="46"/>
      <c r="E97" s="32"/>
      <c r="F97" s="32"/>
      <c r="G97" s="32"/>
      <c r="H97" s="46"/>
    </row>
    <row r="98" customFormat="false" ht="19.5" hidden="false" customHeight="true" outlineLevel="0" collapsed="false">
      <c r="A98" s="39" t="n">
        <v>93</v>
      </c>
      <c r="B98" s="50" t="s">
        <v>400</v>
      </c>
      <c r="C98" s="12"/>
      <c r="D98" s="46"/>
      <c r="E98" s="32"/>
      <c r="F98" s="32"/>
      <c r="G98" s="32"/>
      <c r="H98" s="46"/>
    </row>
    <row r="99" customFormat="false" ht="19.5" hidden="false" customHeight="true" outlineLevel="0" collapsed="false">
      <c r="A99" s="39" t="n">
        <v>94</v>
      </c>
      <c r="B99" s="50" t="s">
        <v>400</v>
      </c>
      <c r="C99" s="12"/>
      <c r="D99" s="46"/>
      <c r="E99" s="32"/>
      <c r="F99" s="32"/>
      <c r="G99" s="32"/>
      <c r="H99" s="46"/>
    </row>
    <row r="100" customFormat="false" ht="19.5" hidden="false" customHeight="true" outlineLevel="0" collapsed="false">
      <c r="A100" s="39" t="n">
        <v>95</v>
      </c>
      <c r="B100" s="50" t="s">
        <v>400</v>
      </c>
      <c r="C100" s="12"/>
      <c r="D100" s="46"/>
      <c r="E100" s="32"/>
      <c r="F100" s="32"/>
      <c r="G100" s="32"/>
      <c r="H100" s="46"/>
    </row>
    <row r="101" customFormat="false" ht="19.5" hidden="false" customHeight="true" outlineLevel="0" collapsed="false">
      <c r="A101" s="39" t="n">
        <v>96</v>
      </c>
      <c r="B101" s="50" t="s">
        <v>400</v>
      </c>
      <c r="C101" s="12"/>
      <c r="D101" s="46"/>
      <c r="E101" s="32"/>
      <c r="F101" s="32"/>
      <c r="G101" s="32"/>
      <c r="H101" s="46"/>
    </row>
    <row r="102" customFormat="false" ht="19.5" hidden="false" customHeight="true" outlineLevel="0" collapsed="false">
      <c r="A102" s="39" t="n">
        <v>97</v>
      </c>
      <c r="B102" s="50" t="s">
        <v>400</v>
      </c>
      <c r="C102" s="12"/>
      <c r="D102" s="46"/>
      <c r="E102" s="32"/>
      <c r="F102" s="32"/>
      <c r="G102" s="32"/>
      <c r="H102" s="46"/>
    </row>
    <row r="103" customFormat="false" ht="19.5" hidden="false" customHeight="true" outlineLevel="0" collapsed="false">
      <c r="A103" s="39" t="n">
        <v>98</v>
      </c>
      <c r="B103" s="50" t="s">
        <v>400</v>
      </c>
      <c r="C103" s="12"/>
      <c r="D103" s="46"/>
      <c r="E103" s="32"/>
      <c r="F103" s="32"/>
      <c r="G103" s="32"/>
      <c r="H103" s="46"/>
    </row>
    <row r="104" customFormat="false" ht="19.5" hidden="false" customHeight="true" outlineLevel="0" collapsed="false">
      <c r="A104" s="39" t="n">
        <v>99</v>
      </c>
      <c r="B104" s="50" t="s">
        <v>400</v>
      </c>
      <c r="C104" s="12"/>
      <c r="D104" s="46"/>
      <c r="E104" s="32"/>
      <c r="F104" s="32"/>
      <c r="G104" s="32"/>
      <c r="H104" s="46"/>
    </row>
    <row r="105" customFormat="false" ht="19.5" hidden="false" customHeight="true" outlineLevel="0" collapsed="false">
      <c r="A105" s="39" t="n">
        <v>100</v>
      </c>
      <c r="B105" s="50" t="s">
        <v>400</v>
      </c>
      <c r="C105" s="12"/>
      <c r="D105" s="46"/>
      <c r="E105" s="32"/>
      <c r="F105" s="32"/>
      <c r="G105" s="32"/>
      <c r="H105" s="46"/>
    </row>
    <row r="106" customFormat="false" ht="19.5" hidden="false" customHeight="true" outlineLevel="0" collapsed="false">
      <c r="A106" s="39" t="n">
        <v>101</v>
      </c>
      <c r="B106" s="50" t="s">
        <v>400</v>
      </c>
      <c r="C106" s="12"/>
      <c r="D106" s="46"/>
      <c r="E106" s="32"/>
      <c r="F106" s="32"/>
      <c r="G106" s="32"/>
      <c r="H106" s="46"/>
    </row>
    <row r="107" customFormat="false" ht="19.5" hidden="false" customHeight="true" outlineLevel="0" collapsed="false">
      <c r="A107" s="39" t="n">
        <v>102</v>
      </c>
      <c r="B107" s="50" t="s">
        <v>400</v>
      </c>
      <c r="C107" s="12"/>
      <c r="D107" s="46"/>
      <c r="E107" s="32"/>
      <c r="F107" s="32"/>
      <c r="G107" s="32"/>
      <c r="H107" s="46"/>
    </row>
    <row r="108" customFormat="false" ht="19.5" hidden="false" customHeight="true" outlineLevel="0" collapsed="false">
      <c r="A108" s="39" t="n">
        <v>103</v>
      </c>
      <c r="B108" s="50" t="s">
        <v>400</v>
      </c>
      <c r="C108" s="12"/>
      <c r="D108" s="46"/>
      <c r="E108" s="32"/>
      <c r="F108" s="32"/>
      <c r="G108" s="32"/>
      <c r="H108" s="46"/>
    </row>
    <row r="109" customFormat="false" ht="19.5" hidden="false" customHeight="true" outlineLevel="0" collapsed="false">
      <c r="A109" s="39" t="n">
        <v>104</v>
      </c>
      <c r="B109" s="50" t="s">
        <v>400</v>
      </c>
      <c r="C109" s="12"/>
      <c r="D109" s="46"/>
      <c r="E109" s="32"/>
      <c r="F109" s="32"/>
      <c r="G109" s="32"/>
      <c r="H109" s="46"/>
    </row>
    <row r="110" customFormat="false" ht="19.5" hidden="false" customHeight="true" outlineLevel="0" collapsed="false">
      <c r="A110" s="39" t="n">
        <v>105</v>
      </c>
      <c r="B110" s="50" t="s">
        <v>400</v>
      </c>
      <c r="C110" s="12"/>
      <c r="D110" s="46"/>
      <c r="E110" s="32"/>
      <c r="F110" s="32"/>
      <c r="G110" s="32"/>
      <c r="H110" s="46"/>
    </row>
    <row r="111" customFormat="false" ht="19.5" hidden="false" customHeight="true" outlineLevel="0" collapsed="false">
      <c r="A111" s="39" t="n">
        <v>106</v>
      </c>
      <c r="B111" s="50" t="s">
        <v>400</v>
      </c>
      <c r="C111" s="12"/>
      <c r="D111" s="46"/>
      <c r="E111" s="32"/>
      <c r="F111" s="32"/>
      <c r="G111" s="32"/>
      <c r="H111" s="46"/>
    </row>
    <row r="112" customFormat="false" ht="19.5" hidden="false" customHeight="true" outlineLevel="0" collapsed="false">
      <c r="A112" s="39" t="n">
        <v>107</v>
      </c>
      <c r="B112" s="50" t="s">
        <v>400</v>
      </c>
      <c r="C112" s="12"/>
      <c r="D112" s="46"/>
      <c r="E112" s="32"/>
      <c r="F112" s="32"/>
      <c r="G112" s="32"/>
      <c r="H112" s="46"/>
    </row>
    <row r="113" customFormat="false" ht="19.5" hidden="false" customHeight="true" outlineLevel="0" collapsed="false">
      <c r="A113" s="39" t="n">
        <v>108</v>
      </c>
      <c r="B113" s="50" t="s">
        <v>400</v>
      </c>
      <c r="C113" s="12"/>
      <c r="D113" s="46"/>
      <c r="E113" s="32"/>
      <c r="F113" s="32"/>
      <c r="G113" s="32"/>
      <c r="H113" s="46"/>
    </row>
    <row r="114" customFormat="false" ht="19.5" hidden="false" customHeight="true" outlineLevel="0" collapsed="false">
      <c r="A114" s="39" t="n">
        <v>109</v>
      </c>
      <c r="B114" s="50" t="s">
        <v>400</v>
      </c>
      <c r="C114" s="12"/>
      <c r="D114" s="46"/>
      <c r="E114" s="32"/>
      <c r="F114" s="32"/>
      <c r="G114" s="32"/>
      <c r="H114" s="46"/>
    </row>
    <row r="115" customFormat="false" ht="19.5" hidden="false" customHeight="true" outlineLevel="0" collapsed="false">
      <c r="A115" s="39" t="n">
        <v>110</v>
      </c>
      <c r="B115" s="50" t="s">
        <v>400</v>
      </c>
      <c r="C115" s="12"/>
      <c r="D115" s="46"/>
      <c r="E115" s="32"/>
      <c r="F115" s="32"/>
      <c r="G115" s="32"/>
      <c r="H115" s="46"/>
    </row>
    <row r="116" customFormat="false" ht="19.5" hidden="false" customHeight="true" outlineLevel="0" collapsed="false">
      <c r="A116" s="39" t="n">
        <v>111</v>
      </c>
      <c r="B116" s="50" t="s">
        <v>400</v>
      </c>
      <c r="C116" s="12"/>
      <c r="D116" s="46"/>
      <c r="E116" s="32"/>
      <c r="F116" s="32"/>
      <c r="G116" s="32"/>
      <c r="H116" s="46"/>
    </row>
    <row r="117" customFormat="false" ht="19.5" hidden="false" customHeight="true" outlineLevel="0" collapsed="false">
      <c r="A117" s="39" t="n">
        <v>112</v>
      </c>
      <c r="B117" s="50" t="s">
        <v>400</v>
      </c>
      <c r="C117" s="12"/>
      <c r="D117" s="46"/>
      <c r="E117" s="32"/>
      <c r="F117" s="32"/>
      <c r="G117" s="32"/>
      <c r="H117" s="46"/>
    </row>
    <row r="118" customFormat="false" ht="19.5" hidden="false" customHeight="true" outlineLevel="0" collapsed="false">
      <c r="A118" s="39" t="n">
        <v>113</v>
      </c>
      <c r="B118" s="50" t="s">
        <v>400</v>
      </c>
      <c r="C118" s="12"/>
      <c r="D118" s="46"/>
      <c r="E118" s="32"/>
      <c r="F118" s="32"/>
      <c r="G118" s="32"/>
      <c r="H118" s="46"/>
    </row>
    <row r="119" customFormat="false" ht="19.5" hidden="false" customHeight="true" outlineLevel="0" collapsed="false">
      <c r="A119" s="39" t="n">
        <v>114</v>
      </c>
      <c r="B119" s="50" t="s">
        <v>400</v>
      </c>
      <c r="C119" s="12"/>
      <c r="D119" s="46"/>
      <c r="E119" s="32"/>
      <c r="F119" s="32"/>
      <c r="G119" s="32"/>
      <c r="H119" s="46"/>
    </row>
    <row r="120" customFormat="false" ht="19.5" hidden="false" customHeight="true" outlineLevel="0" collapsed="false">
      <c r="A120" s="39" t="n">
        <v>115</v>
      </c>
      <c r="B120" s="50" t="s">
        <v>400</v>
      </c>
      <c r="C120" s="12"/>
      <c r="D120" s="46"/>
      <c r="E120" s="32"/>
      <c r="F120" s="32"/>
      <c r="G120" s="32"/>
      <c r="H120" s="46"/>
    </row>
    <row r="121" customFormat="false" ht="19.5" hidden="false" customHeight="true" outlineLevel="0" collapsed="false">
      <c r="A121" s="39" t="n">
        <v>116</v>
      </c>
      <c r="B121" s="50" t="s">
        <v>400</v>
      </c>
      <c r="C121" s="12"/>
      <c r="D121" s="46"/>
      <c r="E121" s="32"/>
      <c r="F121" s="32"/>
      <c r="G121" s="32"/>
      <c r="H121" s="46"/>
    </row>
    <row r="122" customFormat="false" ht="19.5" hidden="false" customHeight="true" outlineLevel="0" collapsed="false">
      <c r="A122" s="39" t="n">
        <v>117</v>
      </c>
      <c r="B122" s="50" t="s">
        <v>400</v>
      </c>
      <c r="C122" s="12"/>
      <c r="D122" s="46"/>
      <c r="E122" s="32"/>
      <c r="F122" s="32"/>
      <c r="G122" s="32"/>
      <c r="H122" s="46"/>
    </row>
    <row r="123" customFormat="false" ht="19.5" hidden="false" customHeight="true" outlineLevel="0" collapsed="false">
      <c r="A123" s="39" t="n">
        <v>118</v>
      </c>
      <c r="B123" s="50" t="s">
        <v>400</v>
      </c>
      <c r="C123" s="12"/>
      <c r="D123" s="46"/>
      <c r="E123" s="32"/>
      <c r="F123" s="32"/>
      <c r="G123" s="32"/>
      <c r="H123" s="46"/>
    </row>
    <row r="124" customFormat="false" ht="19.5" hidden="false" customHeight="true" outlineLevel="0" collapsed="false">
      <c r="A124" s="39" t="n">
        <v>119</v>
      </c>
      <c r="B124" s="50" t="s">
        <v>400</v>
      </c>
      <c r="C124" s="12"/>
      <c r="D124" s="46"/>
      <c r="E124" s="32"/>
      <c r="F124" s="32"/>
      <c r="G124" s="32"/>
      <c r="H124" s="46"/>
    </row>
    <row r="125" customFormat="false" ht="19.5" hidden="false" customHeight="true" outlineLevel="0" collapsed="false">
      <c r="A125" s="39" t="n">
        <v>120</v>
      </c>
      <c r="B125" s="50" t="s">
        <v>400</v>
      </c>
      <c r="C125" s="12"/>
      <c r="D125" s="46"/>
      <c r="E125" s="32"/>
      <c r="F125" s="32"/>
      <c r="G125" s="32"/>
      <c r="H125" s="46"/>
    </row>
    <row r="127" customFormat="false" ht="15" hidden="false" customHeight="true" outlineLevel="0" collapsed="false">
      <c r="A127" s="3" t="s">
        <v>405</v>
      </c>
      <c r="B127" s="3"/>
      <c r="C127" s="3"/>
      <c r="D127" s="3"/>
      <c r="E127" s="3"/>
      <c r="F127" s="3"/>
      <c r="G127" s="3"/>
      <c r="H127" s="3"/>
    </row>
    <row r="128" customFormat="false" ht="25.5" hidden="false" customHeight="true" outlineLevel="0" collapsed="false">
      <c r="A128" s="36" t="s">
        <v>211</v>
      </c>
      <c r="B128" s="14" t="s">
        <v>75</v>
      </c>
      <c r="C128" s="14" t="s">
        <v>396</v>
      </c>
      <c r="D128" s="14" t="s">
        <v>397</v>
      </c>
      <c r="E128" s="14" t="s">
        <v>398</v>
      </c>
      <c r="F128" s="14" t="s">
        <v>219</v>
      </c>
      <c r="G128" s="14" t="s">
        <v>399</v>
      </c>
      <c r="H128" s="14" t="s">
        <v>40</v>
      </c>
    </row>
    <row r="129" customFormat="false" ht="15" hidden="false" customHeight="false" outlineLevel="0" collapsed="false">
      <c r="A129" s="28" t="s">
        <v>186</v>
      </c>
      <c r="B129" s="28" t="s">
        <v>406</v>
      </c>
      <c r="C129" s="38" t="s">
        <v>407</v>
      </c>
      <c r="D129" s="30" t="s">
        <v>408</v>
      </c>
      <c r="E129" s="29" t="s">
        <v>407</v>
      </c>
      <c r="F129" s="29" t="s">
        <v>407</v>
      </c>
      <c r="G129" s="29" t="s">
        <v>403</v>
      </c>
      <c r="H129" s="30" t="s">
        <v>409</v>
      </c>
    </row>
    <row r="130" customFormat="false" ht="19.5" hidden="false" customHeight="true" outlineLevel="0" collapsed="false">
      <c r="A130" s="39" t="n">
        <v>1</v>
      </c>
      <c r="B130" s="50" t="s">
        <v>406</v>
      </c>
      <c r="C130" s="8"/>
      <c r="D130" s="46"/>
      <c r="E130" s="17"/>
      <c r="F130" s="17"/>
      <c r="G130" s="32"/>
      <c r="H130" s="46"/>
    </row>
    <row r="132" customFormat="false" ht="15" hidden="false" customHeight="true" outlineLevel="0" collapsed="false">
      <c r="A132" s="3" t="s">
        <v>410</v>
      </c>
      <c r="B132" s="3"/>
      <c r="C132" s="3"/>
      <c r="D132" s="3"/>
      <c r="E132" s="3"/>
      <c r="F132" s="3"/>
      <c r="G132" s="3"/>
      <c r="H132" s="3"/>
    </row>
    <row r="133" customFormat="false" ht="25.5" hidden="false" customHeight="true" outlineLevel="0" collapsed="false">
      <c r="A133" s="36" t="s">
        <v>211</v>
      </c>
      <c r="B133" s="14" t="s">
        <v>75</v>
      </c>
      <c r="C133" s="14" t="s">
        <v>396</v>
      </c>
      <c r="D133" s="14" t="s">
        <v>397</v>
      </c>
      <c r="E133" s="14" t="s">
        <v>398</v>
      </c>
      <c r="F133" s="14" t="s">
        <v>219</v>
      </c>
      <c r="G133" s="14" t="s">
        <v>399</v>
      </c>
      <c r="H133" s="14" t="s">
        <v>40</v>
      </c>
    </row>
    <row r="134" customFormat="false" ht="29.85" hidden="false" customHeight="false" outlineLevel="0" collapsed="false">
      <c r="A134" s="28" t="s">
        <v>186</v>
      </c>
      <c r="B134" s="28" t="s">
        <v>411</v>
      </c>
      <c r="C134" s="30" t="s">
        <v>412</v>
      </c>
      <c r="D134" s="30" t="s">
        <v>413</v>
      </c>
      <c r="E134" s="29" t="s">
        <v>407</v>
      </c>
      <c r="F134" s="28" t="n">
        <v>1</v>
      </c>
      <c r="G134" s="29" t="s">
        <v>403</v>
      </c>
      <c r="H134" s="38" t="s">
        <v>414</v>
      </c>
    </row>
    <row r="135" customFormat="false" ht="19.5" hidden="false" customHeight="true" outlineLevel="0" collapsed="false">
      <c r="A135" s="39" t="n">
        <v>1</v>
      </c>
      <c r="B135" s="50" t="s">
        <v>411</v>
      </c>
      <c r="C135" s="46"/>
      <c r="D135" s="46"/>
      <c r="E135" s="17"/>
      <c r="F135" s="32"/>
      <c r="G135" s="32"/>
      <c r="H135" s="46"/>
    </row>
    <row r="136" customFormat="false" ht="19.5" hidden="false" customHeight="true" outlineLevel="0" collapsed="false">
      <c r="A136" s="39" t="n">
        <v>2</v>
      </c>
      <c r="B136" s="50" t="s">
        <v>411</v>
      </c>
      <c r="C136" s="46"/>
      <c r="D136" s="46"/>
      <c r="E136" s="17"/>
      <c r="F136" s="32"/>
      <c r="G136" s="32"/>
      <c r="H136" s="46"/>
    </row>
    <row r="137" customFormat="false" ht="19.5" hidden="false" customHeight="true" outlineLevel="0" collapsed="false">
      <c r="A137" s="39" t="n">
        <v>3</v>
      </c>
      <c r="B137" s="50" t="s">
        <v>411</v>
      </c>
      <c r="C137" s="46"/>
      <c r="D137" s="46"/>
      <c r="E137" s="17"/>
      <c r="F137" s="32"/>
      <c r="G137" s="32"/>
      <c r="H137" s="46"/>
    </row>
    <row r="138" customFormat="false" ht="19.5" hidden="false" customHeight="true" outlineLevel="0" collapsed="false">
      <c r="A138" s="39" t="n">
        <v>4</v>
      </c>
      <c r="B138" s="50" t="s">
        <v>411</v>
      </c>
      <c r="C138" s="46"/>
      <c r="D138" s="46"/>
      <c r="E138" s="17"/>
      <c r="F138" s="32"/>
      <c r="G138" s="32"/>
      <c r="H138" s="46"/>
    </row>
    <row r="139" customFormat="false" ht="19.5" hidden="false" customHeight="true" outlineLevel="0" collapsed="false">
      <c r="A139" s="39" t="n">
        <v>5</v>
      </c>
      <c r="B139" s="50" t="s">
        <v>411</v>
      </c>
      <c r="C139" s="46"/>
      <c r="D139" s="46"/>
      <c r="E139" s="17"/>
      <c r="F139" s="32"/>
      <c r="G139" s="32"/>
      <c r="H139" s="46"/>
    </row>
    <row r="140" customFormat="false" ht="19.5" hidden="false" customHeight="true" outlineLevel="0" collapsed="false">
      <c r="A140" s="39" t="n">
        <v>6</v>
      </c>
      <c r="B140" s="50" t="s">
        <v>411</v>
      </c>
      <c r="C140" s="46"/>
      <c r="D140" s="46"/>
      <c r="E140" s="17"/>
      <c r="F140" s="32"/>
      <c r="G140" s="32"/>
      <c r="H140" s="46"/>
    </row>
    <row r="141" customFormat="false" ht="19.5" hidden="false" customHeight="true" outlineLevel="0" collapsed="false">
      <c r="A141" s="39" t="n">
        <v>7</v>
      </c>
      <c r="B141" s="50" t="s">
        <v>411</v>
      </c>
      <c r="C141" s="46"/>
      <c r="D141" s="46"/>
      <c r="E141" s="17"/>
      <c r="F141" s="32"/>
      <c r="G141" s="32"/>
      <c r="H141" s="46"/>
    </row>
    <row r="142" customFormat="false" ht="19.5" hidden="false" customHeight="true" outlineLevel="0" collapsed="false">
      <c r="A142" s="39" t="n">
        <v>8</v>
      </c>
      <c r="B142" s="50" t="s">
        <v>411</v>
      </c>
      <c r="C142" s="46"/>
      <c r="D142" s="46"/>
      <c r="E142" s="17"/>
      <c r="F142" s="32"/>
      <c r="G142" s="32"/>
      <c r="H142" s="46"/>
    </row>
    <row r="143" customFormat="false" ht="19.5" hidden="false" customHeight="true" outlineLevel="0" collapsed="false">
      <c r="A143" s="39" t="n">
        <v>9</v>
      </c>
      <c r="B143" s="50" t="s">
        <v>411</v>
      </c>
      <c r="C143" s="46"/>
      <c r="D143" s="46"/>
      <c r="E143" s="17"/>
      <c r="F143" s="32"/>
      <c r="G143" s="32"/>
      <c r="H143" s="46"/>
    </row>
    <row r="144" customFormat="false" ht="19.5" hidden="false" customHeight="true" outlineLevel="0" collapsed="false">
      <c r="A144" s="39" t="n">
        <v>10</v>
      </c>
      <c r="B144" s="50" t="s">
        <v>411</v>
      </c>
      <c r="C144" s="46"/>
      <c r="D144" s="46"/>
      <c r="E144" s="17"/>
      <c r="F144" s="32"/>
      <c r="G144" s="32"/>
      <c r="H144" s="46"/>
    </row>
    <row r="145" customFormat="false" ht="19.5" hidden="false" customHeight="true" outlineLevel="0" collapsed="false">
      <c r="A145" s="39" t="n">
        <v>11</v>
      </c>
      <c r="B145" s="50" t="s">
        <v>411</v>
      </c>
      <c r="C145" s="46"/>
      <c r="D145" s="46"/>
      <c r="E145" s="17"/>
      <c r="F145" s="32"/>
      <c r="G145" s="32"/>
      <c r="H145" s="46"/>
    </row>
    <row r="146" customFormat="false" ht="19.5" hidden="false" customHeight="true" outlineLevel="0" collapsed="false">
      <c r="A146" s="39" t="n">
        <v>12</v>
      </c>
      <c r="B146" s="50" t="s">
        <v>411</v>
      </c>
      <c r="C146" s="46"/>
      <c r="D146" s="46"/>
      <c r="E146" s="17"/>
      <c r="F146" s="32"/>
      <c r="G146" s="32"/>
      <c r="H146" s="46"/>
    </row>
    <row r="147" customFormat="false" ht="19.5" hidden="false" customHeight="true" outlineLevel="0" collapsed="false">
      <c r="A147" s="39" t="n">
        <v>13</v>
      </c>
      <c r="B147" s="50" t="s">
        <v>411</v>
      </c>
      <c r="C147" s="46"/>
      <c r="D147" s="46"/>
      <c r="E147" s="17"/>
      <c r="F147" s="32"/>
      <c r="G147" s="32"/>
      <c r="H147" s="46"/>
    </row>
    <row r="148" customFormat="false" ht="19.5" hidden="false" customHeight="true" outlineLevel="0" collapsed="false">
      <c r="A148" s="39" t="n">
        <v>14</v>
      </c>
      <c r="B148" s="50" t="s">
        <v>411</v>
      </c>
      <c r="C148" s="46"/>
      <c r="D148" s="46"/>
      <c r="E148" s="17"/>
      <c r="F148" s="32"/>
      <c r="G148" s="32"/>
      <c r="H148" s="46"/>
    </row>
    <row r="149" customFormat="false" ht="19.5" hidden="false" customHeight="true" outlineLevel="0" collapsed="false">
      <c r="A149" s="39" t="n">
        <v>15</v>
      </c>
      <c r="B149" s="50" t="s">
        <v>411</v>
      </c>
      <c r="C149" s="46"/>
      <c r="D149" s="46"/>
      <c r="E149" s="17"/>
      <c r="F149" s="32"/>
      <c r="G149" s="32"/>
      <c r="H149" s="46"/>
    </row>
    <row r="150" customFormat="false" ht="19.5" hidden="false" customHeight="true" outlineLevel="0" collapsed="false">
      <c r="A150" s="39" t="n">
        <v>16</v>
      </c>
      <c r="B150" s="50" t="s">
        <v>411</v>
      </c>
      <c r="C150" s="46"/>
      <c r="D150" s="46"/>
      <c r="E150" s="17"/>
      <c r="F150" s="32"/>
      <c r="G150" s="32"/>
      <c r="H150" s="46"/>
    </row>
    <row r="151" customFormat="false" ht="19.5" hidden="false" customHeight="true" outlineLevel="0" collapsed="false">
      <c r="A151" s="39" t="n">
        <v>17</v>
      </c>
      <c r="B151" s="50" t="s">
        <v>411</v>
      </c>
      <c r="C151" s="46"/>
      <c r="D151" s="46"/>
      <c r="E151" s="17"/>
      <c r="F151" s="32"/>
      <c r="G151" s="32"/>
      <c r="H151" s="46"/>
    </row>
    <row r="152" customFormat="false" ht="19.5" hidden="false" customHeight="true" outlineLevel="0" collapsed="false">
      <c r="A152" s="39" t="n">
        <v>18</v>
      </c>
      <c r="B152" s="50" t="s">
        <v>411</v>
      </c>
      <c r="C152" s="46"/>
      <c r="D152" s="46"/>
      <c r="E152" s="17"/>
      <c r="F152" s="32"/>
      <c r="G152" s="32"/>
      <c r="H152" s="46"/>
    </row>
    <row r="153" customFormat="false" ht="19.5" hidden="false" customHeight="true" outlineLevel="0" collapsed="false">
      <c r="A153" s="39" t="n">
        <v>19</v>
      </c>
      <c r="B153" s="50" t="s">
        <v>411</v>
      </c>
      <c r="C153" s="46"/>
      <c r="D153" s="46"/>
      <c r="E153" s="17"/>
      <c r="F153" s="32"/>
      <c r="G153" s="32"/>
      <c r="H153" s="46"/>
    </row>
    <row r="154" customFormat="false" ht="19.5" hidden="false" customHeight="true" outlineLevel="0" collapsed="false">
      <c r="A154" s="39" t="n">
        <v>20</v>
      </c>
      <c r="B154" s="50" t="s">
        <v>411</v>
      </c>
      <c r="C154" s="46"/>
      <c r="D154" s="46"/>
      <c r="E154" s="17"/>
      <c r="F154" s="32"/>
      <c r="G154" s="32"/>
      <c r="H154" s="46"/>
    </row>
    <row r="155" customFormat="false" ht="19.5" hidden="false" customHeight="true" outlineLevel="0" collapsed="false">
      <c r="A155" s="39" t="n">
        <v>21</v>
      </c>
      <c r="B155" s="50" t="s">
        <v>411</v>
      </c>
      <c r="C155" s="46"/>
      <c r="D155" s="46"/>
      <c r="E155" s="17"/>
      <c r="F155" s="32"/>
      <c r="G155" s="32"/>
      <c r="H155" s="46"/>
    </row>
    <row r="156" customFormat="false" ht="19.5" hidden="false" customHeight="true" outlineLevel="0" collapsed="false">
      <c r="A156" s="39" t="n">
        <v>22</v>
      </c>
      <c r="B156" s="50" t="s">
        <v>411</v>
      </c>
      <c r="C156" s="46"/>
      <c r="D156" s="46"/>
      <c r="E156" s="17"/>
      <c r="F156" s="32"/>
      <c r="G156" s="32"/>
      <c r="H156" s="46"/>
    </row>
    <row r="157" customFormat="false" ht="19.5" hidden="false" customHeight="true" outlineLevel="0" collapsed="false">
      <c r="A157" s="39" t="n">
        <v>23</v>
      </c>
      <c r="B157" s="50" t="s">
        <v>411</v>
      </c>
      <c r="C157" s="46"/>
      <c r="D157" s="46"/>
      <c r="E157" s="17"/>
      <c r="F157" s="32"/>
      <c r="G157" s="32"/>
      <c r="H157" s="46"/>
    </row>
    <row r="158" customFormat="false" ht="19.5" hidden="false" customHeight="true" outlineLevel="0" collapsed="false">
      <c r="A158" s="39" t="n">
        <v>24</v>
      </c>
      <c r="B158" s="50" t="s">
        <v>411</v>
      </c>
      <c r="C158" s="46"/>
      <c r="D158" s="46"/>
      <c r="E158" s="17"/>
      <c r="F158" s="32"/>
      <c r="G158" s="32"/>
      <c r="H158" s="46"/>
    </row>
    <row r="159" customFormat="false" ht="19.5" hidden="false" customHeight="true" outlineLevel="0" collapsed="false">
      <c r="A159" s="39" t="n">
        <v>25</v>
      </c>
      <c r="B159" s="50" t="s">
        <v>411</v>
      </c>
      <c r="C159" s="46"/>
      <c r="D159" s="46"/>
      <c r="E159" s="17"/>
      <c r="F159" s="32"/>
      <c r="G159" s="32"/>
      <c r="H159" s="46"/>
    </row>
    <row r="160" customFormat="false" ht="19.5" hidden="false" customHeight="true" outlineLevel="0" collapsed="false">
      <c r="A160" s="39" t="n">
        <v>26</v>
      </c>
      <c r="B160" s="50" t="s">
        <v>411</v>
      </c>
      <c r="C160" s="46"/>
      <c r="D160" s="46"/>
      <c r="E160" s="17"/>
      <c r="F160" s="32"/>
      <c r="G160" s="32"/>
      <c r="H160" s="46"/>
    </row>
    <row r="161" customFormat="false" ht="19.5" hidden="false" customHeight="true" outlineLevel="0" collapsed="false">
      <c r="A161" s="39" t="n">
        <v>27</v>
      </c>
      <c r="B161" s="50" t="s">
        <v>411</v>
      </c>
      <c r="C161" s="46"/>
      <c r="D161" s="46"/>
      <c r="E161" s="17"/>
      <c r="F161" s="32"/>
      <c r="G161" s="32"/>
      <c r="H161" s="46"/>
    </row>
    <row r="162" customFormat="false" ht="19.5" hidden="false" customHeight="true" outlineLevel="0" collapsed="false">
      <c r="A162" s="39" t="n">
        <v>28</v>
      </c>
      <c r="B162" s="50" t="s">
        <v>411</v>
      </c>
      <c r="C162" s="46"/>
      <c r="D162" s="46"/>
      <c r="E162" s="17"/>
      <c r="F162" s="32"/>
      <c r="G162" s="32"/>
      <c r="H162" s="46"/>
    </row>
    <row r="163" customFormat="false" ht="19.5" hidden="false" customHeight="true" outlineLevel="0" collapsed="false">
      <c r="A163" s="39" t="n">
        <v>29</v>
      </c>
      <c r="B163" s="50" t="s">
        <v>411</v>
      </c>
      <c r="C163" s="46"/>
      <c r="D163" s="46"/>
      <c r="E163" s="17"/>
      <c r="F163" s="32"/>
      <c r="G163" s="32"/>
      <c r="H163" s="46"/>
    </row>
    <row r="164" customFormat="false" ht="19.5" hidden="false" customHeight="true" outlineLevel="0" collapsed="false">
      <c r="A164" s="39" t="n">
        <v>30</v>
      </c>
      <c r="B164" s="50" t="s">
        <v>411</v>
      </c>
      <c r="C164" s="46"/>
      <c r="D164" s="46"/>
      <c r="E164" s="17"/>
      <c r="F164" s="32"/>
      <c r="G164" s="32"/>
      <c r="H164" s="46"/>
    </row>
    <row r="165" customFormat="false" ht="19.5" hidden="false" customHeight="true" outlineLevel="0" collapsed="false">
      <c r="A165" s="39" t="n">
        <v>31</v>
      </c>
      <c r="B165" s="50" t="s">
        <v>411</v>
      </c>
      <c r="C165" s="46"/>
      <c r="D165" s="46"/>
      <c r="E165" s="17"/>
      <c r="F165" s="32"/>
      <c r="G165" s="32"/>
      <c r="H165" s="46"/>
    </row>
    <row r="166" customFormat="false" ht="19.5" hidden="false" customHeight="true" outlineLevel="0" collapsed="false">
      <c r="A166" s="39" t="n">
        <v>32</v>
      </c>
      <c r="B166" s="50" t="s">
        <v>411</v>
      </c>
      <c r="C166" s="46"/>
      <c r="D166" s="46"/>
      <c r="E166" s="17"/>
      <c r="F166" s="32"/>
      <c r="G166" s="32"/>
      <c r="H166" s="46"/>
    </row>
    <row r="167" customFormat="false" ht="19.5" hidden="false" customHeight="true" outlineLevel="0" collapsed="false">
      <c r="A167" s="39" t="n">
        <v>33</v>
      </c>
      <c r="B167" s="50" t="s">
        <v>411</v>
      </c>
      <c r="C167" s="46"/>
      <c r="D167" s="46"/>
      <c r="E167" s="17"/>
      <c r="F167" s="32"/>
      <c r="G167" s="32"/>
      <c r="H167" s="46"/>
    </row>
    <row r="168" customFormat="false" ht="19.5" hidden="false" customHeight="true" outlineLevel="0" collapsed="false">
      <c r="A168" s="39" t="n">
        <v>34</v>
      </c>
      <c r="B168" s="50" t="s">
        <v>411</v>
      </c>
      <c r="C168" s="46"/>
      <c r="D168" s="46"/>
      <c r="E168" s="17"/>
      <c r="F168" s="32"/>
      <c r="G168" s="32"/>
      <c r="H168" s="46"/>
    </row>
    <row r="169" customFormat="false" ht="19.5" hidden="false" customHeight="true" outlineLevel="0" collapsed="false">
      <c r="A169" s="39" t="n">
        <v>35</v>
      </c>
      <c r="B169" s="50" t="s">
        <v>411</v>
      </c>
      <c r="C169" s="46"/>
      <c r="D169" s="46"/>
      <c r="E169" s="17"/>
      <c r="F169" s="32"/>
      <c r="G169" s="32"/>
      <c r="H169" s="46"/>
    </row>
    <row r="170" customFormat="false" ht="19.5" hidden="false" customHeight="true" outlineLevel="0" collapsed="false">
      <c r="A170" s="39" t="n">
        <v>36</v>
      </c>
      <c r="B170" s="50" t="s">
        <v>411</v>
      </c>
      <c r="C170" s="46"/>
      <c r="D170" s="46"/>
      <c r="E170" s="17"/>
      <c r="F170" s="32"/>
      <c r="G170" s="32"/>
      <c r="H170" s="46"/>
    </row>
    <row r="171" customFormat="false" ht="19.5" hidden="false" customHeight="true" outlineLevel="0" collapsed="false">
      <c r="A171" s="39" t="n">
        <v>37</v>
      </c>
      <c r="B171" s="50" t="s">
        <v>411</v>
      </c>
      <c r="C171" s="46"/>
      <c r="D171" s="46"/>
      <c r="E171" s="17"/>
      <c r="F171" s="32"/>
      <c r="G171" s="32"/>
      <c r="H171" s="46"/>
    </row>
    <row r="172" customFormat="false" ht="19.5" hidden="false" customHeight="true" outlineLevel="0" collapsed="false">
      <c r="A172" s="39" t="n">
        <v>38</v>
      </c>
      <c r="B172" s="50" t="s">
        <v>411</v>
      </c>
      <c r="C172" s="46"/>
      <c r="D172" s="46"/>
      <c r="E172" s="17"/>
      <c r="F172" s="32"/>
      <c r="G172" s="32"/>
      <c r="H172" s="46"/>
    </row>
    <row r="173" customFormat="false" ht="19.5" hidden="false" customHeight="true" outlineLevel="0" collapsed="false">
      <c r="A173" s="39" t="n">
        <v>39</v>
      </c>
      <c r="B173" s="50" t="s">
        <v>411</v>
      </c>
      <c r="C173" s="46"/>
      <c r="D173" s="46"/>
      <c r="E173" s="17"/>
      <c r="F173" s="32"/>
      <c r="G173" s="32"/>
      <c r="H173" s="46"/>
    </row>
    <row r="174" customFormat="false" ht="19.5" hidden="false" customHeight="true" outlineLevel="0" collapsed="false">
      <c r="A174" s="39" t="n">
        <v>40</v>
      </c>
      <c r="B174" s="50" t="s">
        <v>411</v>
      </c>
      <c r="C174" s="46"/>
      <c r="D174" s="46"/>
      <c r="E174" s="17"/>
      <c r="F174" s="32"/>
      <c r="G174" s="32"/>
      <c r="H174" s="46"/>
    </row>
  </sheetData>
  <mergeCells count="5">
    <mergeCell ref="A1:H1"/>
    <mergeCell ref="A2:H2"/>
    <mergeCell ref="A3:H3"/>
    <mergeCell ref="A127:H127"/>
    <mergeCell ref="A132:H132"/>
  </mergeCells>
  <dataValidations count="2">
    <dataValidation allowBlank="true" errorStyle="stop" operator="between" showDropDown="false" showErrorMessage="false" showInputMessage="false" sqref="C6:C125" type="list">
      <formula1>"외관,내부,관리실,시술,제품,로고,기타"</formula1>
      <formula2>0</formula2>
    </dataValidation>
    <dataValidation allowBlank="true" errorStyle="stop" operator="between" showDropDown="false" showErrorMessage="false" showInputMessage="false" sqref="E6:E1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20"/>
  </cols>
  <sheetData>
    <row r="1" customFormat="false" ht="24" hidden="false" customHeight="true" outlineLevel="0" collapsed="false">
      <c r="A1" s="23" t="s">
        <v>415</v>
      </c>
      <c r="B1" s="23"/>
      <c r="C1" s="23"/>
      <c r="D1" s="23"/>
      <c r="E1" s="23"/>
      <c r="F1" s="23"/>
      <c r="G1" s="23"/>
      <c r="H1" s="23"/>
      <c r="I1" s="23"/>
    </row>
    <row r="2" customFormat="false" ht="30" hidden="false" customHeight="true" outlineLevel="0" collapsed="false">
      <c r="A2" s="2" t="s">
        <v>416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417</v>
      </c>
      <c r="B4" s="3"/>
      <c r="C4" s="3"/>
      <c r="D4" s="3"/>
      <c r="E4" s="3"/>
      <c r="F4" s="3"/>
      <c r="G4" s="3"/>
      <c r="H4" s="3"/>
      <c r="I4" s="3"/>
    </row>
    <row r="5" customFormat="false" ht="25.5" hidden="false" customHeight="true" outlineLevel="0" collapsed="false">
      <c r="A5" s="14" t="s">
        <v>418</v>
      </c>
      <c r="B5" s="14" t="s">
        <v>419</v>
      </c>
      <c r="C5" s="14" t="s">
        <v>420</v>
      </c>
      <c r="D5" s="14" t="s">
        <v>421</v>
      </c>
      <c r="E5" s="14" t="s">
        <v>29</v>
      </c>
      <c r="F5" s="14" t="s">
        <v>422</v>
      </c>
      <c r="G5" s="14" t="s">
        <v>423</v>
      </c>
      <c r="H5" s="14" t="s">
        <v>40</v>
      </c>
      <c r="I5" s="14" t="s">
        <v>31</v>
      </c>
    </row>
    <row r="6" customFormat="false" ht="15" hidden="false" customHeight="false" outlineLevel="0" collapsed="false">
      <c r="A6" s="28" t="s">
        <v>186</v>
      </c>
      <c r="B6" s="29" t="s">
        <v>424</v>
      </c>
      <c r="C6" s="51" t="n">
        <v>0.78</v>
      </c>
      <c r="D6" s="28" t="n">
        <v>0</v>
      </c>
      <c r="E6" s="28" t="s">
        <v>425</v>
      </c>
      <c r="F6" s="29" t="s">
        <v>426</v>
      </c>
      <c r="G6" s="29" t="s">
        <v>407</v>
      </c>
      <c r="H6" s="30" t="s">
        <v>427</v>
      </c>
      <c r="I6" s="28" t="s">
        <v>428</v>
      </c>
    </row>
    <row r="7" customFormat="false" ht="19.5" hidden="false" customHeight="true" outlineLevel="0" collapsed="false">
      <c r="A7" s="17" t="s">
        <v>429</v>
      </c>
      <c r="B7" s="17"/>
      <c r="C7" s="52"/>
      <c r="D7" s="17"/>
      <c r="E7" s="17"/>
      <c r="F7" s="17"/>
      <c r="G7" s="32"/>
      <c r="H7" s="46"/>
      <c r="I7" s="32"/>
    </row>
    <row r="8" customFormat="false" ht="19.5" hidden="false" customHeight="true" outlineLevel="0" collapsed="false">
      <c r="A8" s="17" t="s">
        <v>430</v>
      </c>
      <c r="B8" s="17"/>
      <c r="C8" s="52"/>
      <c r="D8" s="17"/>
      <c r="E8" s="17"/>
      <c r="F8" s="17"/>
      <c r="G8" s="32"/>
      <c r="H8" s="46"/>
      <c r="I8" s="32"/>
    </row>
    <row r="9" customFormat="false" ht="19.5" hidden="false" customHeight="true" outlineLevel="0" collapsed="false">
      <c r="A9" s="17" t="s">
        <v>431</v>
      </c>
      <c r="B9" s="17"/>
      <c r="C9" s="52"/>
      <c r="D9" s="17"/>
      <c r="E9" s="17"/>
      <c r="F9" s="17"/>
      <c r="G9" s="32"/>
      <c r="H9" s="46"/>
      <c r="I9" s="32"/>
    </row>
    <row r="10" customFormat="false" ht="19.5" hidden="false" customHeight="true" outlineLevel="0" collapsed="false">
      <c r="A10" s="17" t="s">
        <v>432</v>
      </c>
      <c r="B10" s="17"/>
      <c r="C10" s="52"/>
      <c r="D10" s="17"/>
      <c r="E10" s="17"/>
      <c r="F10" s="17"/>
      <c r="G10" s="32"/>
      <c r="H10" s="46"/>
      <c r="I10" s="32"/>
    </row>
    <row r="11" customFormat="false" ht="19.5" hidden="false" customHeight="true" outlineLevel="0" collapsed="false">
      <c r="A11" s="17" t="s">
        <v>433</v>
      </c>
      <c r="B11" s="17"/>
      <c r="C11" s="52"/>
      <c r="D11" s="17"/>
      <c r="E11" s="17"/>
      <c r="F11" s="17"/>
      <c r="G11" s="32"/>
      <c r="H11" s="46"/>
      <c r="I11" s="32"/>
    </row>
    <row r="12" customFormat="false" ht="19.5" hidden="false" customHeight="true" outlineLevel="0" collapsed="false">
      <c r="A12" s="17" t="s">
        <v>434</v>
      </c>
      <c r="B12" s="17"/>
      <c r="C12" s="52"/>
      <c r="D12" s="17"/>
      <c r="E12" s="17"/>
      <c r="F12" s="17"/>
      <c r="G12" s="32"/>
      <c r="H12" s="46"/>
      <c r="I12" s="32"/>
    </row>
    <row r="13" customFormat="false" ht="19.5" hidden="false" customHeight="true" outlineLevel="0" collapsed="false">
      <c r="A13" s="17" t="s">
        <v>435</v>
      </c>
      <c r="B13" s="17"/>
      <c r="C13" s="52"/>
      <c r="D13" s="17"/>
      <c r="E13" s="17"/>
      <c r="F13" s="17"/>
      <c r="G13" s="32"/>
      <c r="H13" s="46"/>
      <c r="I13" s="32"/>
    </row>
    <row r="14" customFormat="false" ht="19.5" hidden="false" customHeight="true" outlineLevel="0" collapsed="false">
      <c r="A14" s="17" t="s">
        <v>436</v>
      </c>
      <c r="B14" s="17"/>
      <c r="C14" s="52"/>
      <c r="D14" s="17"/>
      <c r="E14" s="17"/>
      <c r="F14" s="17"/>
      <c r="G14" s="32"/>
      <c r="H14" s="46"/>
      <c r="I14" s="32"/>
    </row>
    <row r="15" customFormat="false" ht="19.5" hidden="false" customHeight="true" outlineLevel="0" collapsed="false">
      <c r="A15" s="17" t="s">
        <v>437</v>
      </c>
      <c r="B15" s="17"/>
      <c r="C15" s="52"/>
      <c r="D15" s="17"/>
      <c r="E15" s="17"/>
      <c r="F15" s="17"/>
      <c r="G15" s="32"/>
      <c r="H15" s="46"/>
      <c r="I15" s="32"/>
    </row>
    <row r="16" customFormat="false" ht="19.5" hidden="false" customHeight="true" outlineLevel="0" collapsed="false">
      <c r="A16" s="17" t="s">
        <v>438</v>
      </c>
      <c r="B16" s="17"/>
      <c r="C16" s="52"/>
      <c r="D16" s="17"/>
      <c r="E16" s="17"/>
      <c r="F16" s="17"/>
      <c r="G16" s="32"/>
      <c r="H16" s="46"/>
      <c r="I16" s="32"/>
    </row>
    <row r="17" customFormat="false" ht="19.5" hidden="false" customHeight="true" outlineLevel="0" collapsed="false">
      <c r="A17" s="17" t="s">
        <v>439</v>
      </c>
      <c r="B17" s="17"/>
      <c r="C17" s="52"/>
      <c r="D17" s="17"/>
      <c r="E17" s="17"/>
      <c r="F17" s="17"/>
      <c r="G17" s="32"/>
      <c r="H17" s="46"/>
      <c r="I17" s="32"/>
    </row>
    <row r="18" customFormat="false" ht="19.5" hidden="false" customHeight="true" outlineLevel="0" collapsed="false">
      <c r="A18" s="17" t="s">
        <v>440</v>
      </c>
      <c r="B18" s="17"/>
      <c r="C18" s="52"/>
      <c r="D18" s="17"/>
      <c r="E18" s="17"/>
      <c r="F18" s="17"/>
      <c r="G18" s="32"/>
      <c r="H18" s="46"/>
      <c r="I18" s="32"/>
    </row>
    <row r="19" customFormat="false" ht="19.5" hidden="false" customHeight="true" outlineLevel="0" collapsed="false">
      <c r="A19" s="17" t="s">
        <v>441</v>
      </c>
      <c r="B19" s="17"/>
      <c r="C19" s="52"/>
      <c r="D19" s="17"/>
      <c r="E19" s="17"/>
      <c r="F19" s="17"/>
      <c r="G19" s="32"/>
      <c r="H19" s="46"/>
      <c r="I19" s="32"/>
    </row>
    <row r="20" customFormat="false" ht="19.5" hidden="false" customHeight="true" outlineLevel="0" collapsed="false">
      <c r="A20" s="17" t="s">
        <v>442</v>
      </c>
      <c r="B20" s="17"/>
      <c r="C20" s="52"/>
      <c r="D20" s="17"/>
      <c r="E20" s="17"/>
      <c r="F20" s="17"/>
      <c r="G20" s="32"/>
      <c r="H20" s="46"/>
      <c r="I20" s="32"/>
    </row>
    <row r="21" customFormat="false" ht="19.5" hidden="false" customHeight="true" outlineLevel="0" collapsed="false">
      <c r="A21" s="17" t="s">
        <v>443</v>
      </c>
      <c r="B21" s="17"/>
      <c r="C21" s="52"/>
      <c r="D21" s="17"/>
      <c r="E21" s="17"/>
      <c r="F21" s="17"/>
      <c r="G21" s="32"/>
      <c r="H21" s="46"/>
      <c r="I21" s="32"/>
    </row>
    <row r="23" customFormat="false" ht="15" hidden="false" customHeight="true" outlineLevel="0" collapsed="false">
      <c r="A23" s="3" t="s">
        <v>444</v>
      </c>
      <c r="B23" s="3"/>
      <c r="C23" s="3"/>
      <c r="D23" s="3"/>
      <c r="E23" s="3"/>
      <c r="F23" s="3"/>
      <c r="G23" s="3"/>
      <c r="H23" s="3"/>
      <c r="I23" s="3"/>
    </row>
    <row r="24" customFormat="false" ht="25.5" hidden="false" customHeight="true" outlineLevel="0" collapsed="false">
      <c r="A24" s="36" t="s">
        <v>211</v>
      </c>
      <c r="B24" s="14" t="s">
        <v>445</v>
      </c>
      <c r="C24" s="14" t="s">
        <v>418</v>
      </c>
      <c r="D24" s="14" t="s">
        <v>446</v>
      </c>
      <c r="E24" s="14" t="s">
        <v>76</v>
      </c>
      <c r="F24" s="14" t="s">
        <v>447</v>
      </c>
      <c r="G24" s="14" t="s">
        <v>448</v>
      </c>
      <c r="H24" s="14" t="s">
        <v>449</v>
      </c>
      <c r="I24" s="14" t="s">
        <v>450</v>
      </c>
    </row>
    <row r="25" customFormat="false" ht="23.85" hidden="false" customHeight="false" outlineLevel="0" collapsed="false">
      <c r="A25" s="28" t="s">
        <v>186</v>
      </c>
      <c r="B25" s="29" t="s">
        <v>451</v>
      </c>
      <c r="C25" s="29" t="s">
        <v>430</v>
      </c>
      <c r="D25" s="29" t="s">
        <v>452</v>
      </c>
      <c r="E25" s="30" t="s">
        <v>93</v>
      </c>
      <c r="F25" s="38" t="s">
        <v>453</v>
      </c>
      <c r="G25" s="38" t="s">
        <v>454</v>
      </c>
      <c r="H25" s="28" t="s">
        <v>455</v>
      </c>
      <c r="I25" s="28" t="s">
        <v>456</v>
      </c>
    </row>
    <row r="26" customFormat="false" ht="19.5" hidden="false" customHeight="true" outlineLevel="0" collapsed="false">
      <c r="A26" s="17" t="n">
        <v>1</v>
      </c>
      <c r="B26" s="17"/>
      <c r="C26" s="17"/>
      <c r="D26" s="17"/>
      <c r="E26" s="8"/>
      <c r="F26" s="8"/>
      <c r="G26" s="8"/>
      <c r="H26" s="17"/>
      <c r="I26" s="32"/>
    </row>
    <row r="27" customFormat="false" ht="19.5" hidden="false" customHeight="true" outlineLevel="0" collapsed="false">
      <c r="A27" s="17" t="n">
        <v>2</v>
      </c>
      <c r="B27" s="17"/>
      <c r="C27" s="17"/>
      <c r="D27" s="17"/>
      <c r="E27" s="8"/>
      <c r="F27" s="8"/>
      <c r="G27" s="8"/>
      <c r="H27" s="17"/>
      <c r="I27" s="32"/>
    </row>
    <row r="28" customFormat="false" ht="19.5" hidden="false" customHeight="true" outlineLevel="0" collapsed="false">
      <c r="A28" s="17" t="n">
        <v>3</v>
      </c>
      <c r="B28" s="17"/>
      <c r="C28" s="17"/>
      <c r="D28" s="17"/>
      <c r="E28" s="8"/>
      <c r="F28" s="8"/>
      <c r="G28" s="8"/>
      <c r="H28" s="17"/>
      <c r="I28" s="32"/>
    </row>
    <row r="29" customFormat="false" ht="19.5" hidden="false" customHeight="true" outlineLevel="0" collapsed="false">
      <c r="A29" s="17" t="n">
        <v>4</v>
      </c>
      <c r="B29" s="17"/>
      <c r="C29" s="17"/>
      <c r="D29" s="17"/>
      <c r="E29" s="8"/>
      <c r="F29" s="8"/>
      <c r="G29" s="8"/>
      <c r="H29" s="17"/>
      <c r="I29" s="32"/>
    </row>
    <row r="30" customFormat="false" ht="19.5" hidden="false" customHeight="true" outlineLevel="0" collapsed="false">
      <c r="A30" s="17" t="n">
        <v>5</v>
      </c>
      <c r="B30" s="17"/>
      <c r="C30" s="17"/>
      <c r="D30" s="17"/>
      <c r="E30" s="8"/>
      <c r="F30" s="8"/>
      <c r="G30" s="8"/>
      <c r="H30" s="17"/>
      <c r="I30" s="32"/>
    </row>
    <row r="31" customFormat="false" ht="19.5" hidden="false" customHeight="true" outlineLevel="0" collapsed="false">
      <c r="A31" s="17" t="n">
        <v>6</v>
      </c>
      <c r="B31" s="17"/>
      <c r="C31" s="17"/>
      <c r="D31" s="17"/>
      <c r="E31" s="8"/>
      <c r="F31" s="8"/>
      <c r="G31" s="8"/>
      <c r="H31" s="17"/>
      <c r="I31" s="32"/>
    </row>
    <row r="32" customFormat="false" ht="19.5" hidden="false" customHeight="true" outlineLevel="0" collapsed="false">
      <c r="A32" s="17" t="n">
        <v>7</v>
      </c>
      <c r="B32" s="17"/>
      <c r="C32" s="17"/>
      <c r="D32" s="17"/>
      <c r="E32" s="8"/>
      <c r="F32" s="8"/>
      <c r="G32" s="8"/>
      <c r="H32" s="17"/>
      <c r="I32" s="32"/>
    </row>
    <row r="33" customFormat="false" ht="19.5" hidden="false" customHeight="true" outlineLevel="0" collapsed="false">
      <c r="A33" s="17" t="n">
        <v>8</v>
      </c>
      <c r="B33" s="17"/>
      <c r="C33" s="17"/>
      <c r="D33" s="17"/>
      <c r="E33" s="8"/>
      <c r="F33" s="8"/>
      <c r="G33" s="8"/>
      <c r="H33" s="17"/>
      <c r="I33" s="32"/>
    </row>
    <row r="34" customFormat="false" ht="19.5" hidden="false" customHeight="true" outlineLevel="0" collapsed="false">
      <c r="A34" s="17" t="n">
        <v>9</v>
      </c>
      <c r="B34" s="17"/>
      <c r="C34" s="17"/>
      <c r="D34" s="17"/>
      <c r="E34" s="8"/>
      <c r="F34" s="8"/>
      <c r="G34" s="8"/>
      <c r="H34" s="17"/>
      <c r="I34" s="32"/>
    </row>
    <row r="35" customFormat="false" ht="19.5" hidden="false" customHeight="true" outlineLevel="0" collapsed="false">
      <c r="A35" s="17" t="n">
        <v>10</v>
      </c>
      <c r="B35" s="17"/>
      <c r="C35" s="17"/>
      <c r="D35" s="17"/>
      <c r="E35" s="8"/>
      <c r="F35" s="8"/>
      <c r="G35" s="8"/>
      <c r="H35" s="17"/>
      <c r="I35" s="32"/>
    </row>
    <row r="36" customFormat="false" ht="19.5" hidden="false" customHeight="true" outlineLevel="0" collapsed="false">
      <c r="A36" s="17" t="n">
        <v>11</v>
      </c>
      <c r="B36" s="17"/>
      <c r="C36" s="17"/>
      <c r="D36" s="17"/>
      <c r="E36" s="8"/>
      <c r="F36" s="8"/>
      <c r="G36" s="8"/>
      <c r="H36" s="17"/>
      <c r="I36" s="32"/>
    </row>
    <row r="37" customFormat="false" ht="19.5" hidden="false" customHeight="true" outlineLevel="0" collapsed="false">
      <c r="A37" s="17" t="n">
        <v>12</v>
      </c>
      <c r="B37" s="17"/>
      <c r="C37" s="17"/>
      <c r="D37" s="17"/>
      <c r="E37" s="8"/>
      <c r="F37" s="8"/>
      <c r="G37" s="8"/>
      <c r="H37" s="17"/>
      <c r="I37" s="32"/>
    </row>
    <row r="38" customFormat="false" ht="19.5" hidden="false" customHeight="true" outlineLevel="0" collapsed="false">
      <c r="A38" s="17" t="n">
        <v>13</v>
      </c>
      <c r="B38" s="17"/>
      <c r="C38" s="17"/>
      <c r="D38" s="17"/>
      <c r="E38" s="8"/>
      <c r="F38" s="8"/>
      <c r="G38" s="8"/>
      <c r="H38" s="17"/>
      <c r="I38" s="32"/>
    </row>
    <row r="39" customFormat="false" ht="19.5" hidden="false" customHeight="true" outlineLevel="0" collapsed="false">
      <c r="A39" s="17" t="n">
        <v>14</v>
      </c>
      <c r="B39" s="17"/>
      <c r="C39" s="17"/>
      <c r="D39" s="17"/>
      <c r="E39" s="8"/>
      <c r="F39" s="8"/>
      <c r="G39" s="8"/>
      <c r="H39" s="17"/>
      <c r="I39" s="32"/>
    </row>
    <row r="40" customFormat="false" ht="19.5" hidden="false" customHeight="true" outlineLevel="0" collapsed="false">
      <c r="A40" s="17" t="n">
        <v>15</v>
      </c>
      <c r="B40" s="17"/>
      <c r="C40" s="17"/>
      <c r="D40" s="17"/>
      <c r="E40" s="8"/>
      <c r="F40" s="8"/>
      <c r="G40" s="8"/>
      <c r="H40" s="17"/>
      <c r="I40" s="32"/>
    </row>
    <row r="41" customFormat="false" ht="19.5" hidden="false" customHeight="true" outlineLevel="0" collapsed="false">
      <c r="A41" s="17" t="n">
        <v>16</v>
      </c>
      <c r="B41" s="17"/>
      <c r="C41" s="17"/>
      <c r="D41" s="17"/>
      <c r="E41" s="8"/>
      <c r="F41" s="8"/>
      <c r="G41" s="8"/>
      <c r="H41" s="17"/>
      <c r="I41" s="32"/>
    </row>
    <row r="42" customFormat="false" ht="19.5" hidden="false" customHeight="true" outlineLevel="0" collapsed="false">
      <c r="A42" s="17" t="n">
        <v>17</v>
      </c>
      <c r="B42" s="17"/>
      <c r="C42" s="17"/>
      <c r="D42" s="17"/>
      <c r="E42" s="8"/>
      <c r="F42" s="8"/>
      <c r="G42" s="8"/>
      <c r="H42" s="17"/>
      <c r="I42" s="32"/>
    </row>
    <row r="43" customFormat="false" ht="19.5" hidden="false" customHeight="true" outlineLevel="0" collapsed="false">
      <c r="A43" s="17" t="n">
        <v>18</v>
      </c>
      <c r="B43" s="17"/>
      <c r="C43" s="17"/>
      <c r="D43" s="17"/>
      <c r="E43" s="8"/>
      <c r="F43" s="8"/>
      <c r="G43" s="8"/>
      <c r="H43" s="17"/>
      <c r="I43" s="32"/>
    </row>
    <row r="44" customFormat="false" ht="19.5" hidden="false" customHeight="true" outlineLevel="0" collapsed="false">
      <c r="A44" s="17" t="n">
        <v>19</v>
      </c>
      <c r="B44" s="17"/>
      <c r="C44" s="17"/>
      <c r="D44" s="17"/>
      <c r="E44" s="8"/>
      <c r="F44" s="8"/>
      <c r="G44" s="8"/>
      <c r="H44" s="17"/>
      <c r="I44" s="32"/>
    </row>
    <row r="45" customFormat="false" ht="19.5" hidden="false" customHeight="true" outlineLevel="0" collapsed="false">
      <c r="A45" s="17" t="n">
        <v>20</v>
      </c>
      <c r="B45" s="17"/>
      <c r="C45" s="17"/>
      <c r="D45" s="17"/>
      <c r="E45" s="8"/>
      <c r="F45" s="8"/>
      <c r="G45" s="8"/>
      <c r="H45" s="17"/>
      <c r="I45" s="32"/>
    </row>
    <row r="46" customFormat="false" ht="19.5" hidden="false" customHeight="true" outlineLevel="0" collapsed="false">
      <c r="A46" s="17" t="n">
        <v>21</v>
      </c>
      <c r="B46" s="17"/>
      <c r="C46" s="17"/>
      <c r="D46" s="17"/>
      <c r="E46" s="8"/>
      <c r="F46" s="8"/>
      <c r="G46" s="8"/>
      <c r="H46" s="17"/>
      <c r="I46" s="32"/>
    </row>
    <row r="47" customFormat="false" ht="19.5" hidden="false" customHeight="true" outlineLevel="0" collapsed="false">
      <c r="A47" s="17" t="n">
        <v>22</v>
      </c>
      <c r="B47" s="17"/>
      <c r="C47" s="17"/>
      <c r="D47" s="17"/>
      <c r="E47" s="8"/>
      <c r="F47" s="8"/>
      <c r="G47" s="8"/>
      <c r="H47" s="17"/>
      <c r="I47" s="32"/>
    </row>
    <row r="48" customFormat="false" ht="19.5" hidden="false" customHeight="true" outlineLevel="0" collapsed="false">
      <c r="A48" s="17" t="n">
        <v>23</v>
      </c>
      <c r="B48" s="17"/>
      <c r="C48" s="17"/>
      <c r="D48" s="17"/>
      <c r="E48" s="8"/>
      <c r="F48" s="8"/>
      <c r="G48" s="8"/>
      <c r="H48" s="17"/>
      <c r="I48" s="32"/>
    </row>
    <row r="49" customFormat="false" ht="19.5" hidden="false" customHeight="true" outlineLevel="0" collapsed="false">
      <c r="A49" s="17" t="n">
        <v>24</v>
      </c>
      <c r="B49" s="17"/>
      <c r="C49" s="17"/>
      <c r="D49" s="17"/>
      <c r="E49" s="8"/>
      <c r="F49" s="8"/>
      <c r="G49" s="8"/>
      <c r="H49" s="17"/>
      <c r="I49" s="32"/>
    </row>
    <row r="50" customFormat="false" ht="19.5" hidden="false" customHeight="true" outlineLevel="0" collapsed="false">
      <c r="A50" s="17" t="n">
        <v>25</v>
      </c>
      <c r="B50" s="17"/>
      <c r="C50" s="17"/>
      <c r="D50" s="17"/>
      <c r="E50" s="8"/>
      <c r="F50" s="8"/>
      <c r="G50" s="8"/>
      <c r="H50" s="17"/>
      <c r="I50" s="32"/>
    </row>
    <row r="51" customFormat="false" ht="19.5" hidden="false" customHeight="true" outlineLevel="0" collapsed="false">
      <c r="A51" s="17" t="n">
        <v>26</v>
      </c>
      <c r="B51" s="17"/>
      <c r="C51" s="17"/>
      <c r="D51" s="17"/>
      <c r="E51" s="8"/>
      <c r="F51" s="8"/>
      <c r="G51" s="8"/>
      <c r="H51" s="17"/>
      <c r="I51" s="32"/>
    </row>
    <row r="52" customFormat="false" ht="19.5" hidden="false" customHeight="true" outlineLevel="0" collapsed="false">
      <c r="A52" s="17" t="n">
        <v>27</v>
      </c>
      <c r="B52" s="17"/>
      <c r="C52" s="17"/>
      <c r="D52" s="17"/>
      <c r="E52" s="8"/>
      <c r="F52" s="8"/>
      <c r="G52" s="8"/>
      <c r="H52" s="17"/>
      <c r="I52" s="32"/>
    </row>
    <row r="53" customFormat="false" ht="19.5" hidden="false" customHeight="true" outlineLevel="0" collapsed="false">
      <c r="A53" s="17" t="n">
        <v>28</v>
      </c>
      <c r="B53" s="17"/>
      <c r="C53" s="17"/>
      <c r="D53" s="17"/>
      <c r="E53" s="8"/>
      <c r="F53" s="8"/>
      <c r="G53" s="8"/>
      <c r="H53" s="17"/>
      <c r="I53" s="32"/>
    </row>
    <row r="54" customFormat="false" ht="19.5" hidden="false" customHeight="true" outlineLevel="0" collapsed="false">
      <c r="A54" s="17" t="n">
        <v>29</v>
      </c>
      <c r="B54" s="17"/>
      <c r="C54" s="17"/>
      <c r="D54" s="17"/>
      <c r="E54" s="8"/>
      <c r="F54" s="8"/>
      <c r="G54" s="8"/>
      <c r="H54" s="17"/>
      <c r="I54" s="32"/>
    </row>
    <row r="55" customFormat="false" ht="19.5" hidden="false" customHeight="true" outlineLevel="0" collapsed="false">
      <c r="A55" s="17" t="n">
        <v>30</v>
      </c>
      <c r="B55" s="17"/>
      <c r="C55" s="17"/>
      <c r="D55" s="17"/>
      <c r="E55" s="8"/>
      <c r="F55" s="8"/>
      <c r="G55" s="8"/>
      <c r="H55" s="17"/>
      <c r="I55" s="32"/>
    </row>
    <row r="56" customFormat="false" ht="19.5" hidden="false" customHeight="true" outlineLevel="0" collapsed="false">
      <c r="A56" s="17" t="n">
        <v>31</v>
      </c>
      <c r="B56" s="17"/>
      <c r="C56" s="17"/>
      <c r="D56" s="17"/>
      <c r="E56" s="8"/>
      <c r="F56" s="8"/>
      <c r="G56" s="8"/>
      <c r="H56" s="17"/>
      <c r="I56" s="32"/>
    </row>
    <row r="57" customFormat="false" ht="19.5" hidden="false" customHeight="true" outlineLevel="0" collapsed="false">
      <c r="A57" s="17" t="n">
        <v>32</v>
      </c>
      <c r="B57" s="17"/>
      <c r="C57" s="17"/>
      <c r="D57" s="17"/>
      <c r="E57" s="8"/>
      <c r="F57" s="8"/>
      <c r="G57" s="8"/>
      <c r="H57" s="17"/>
      <c r="I57" s="32"/>
    </row>
    <row r="58" customFormat="false" ht="19.5" hidden="false" customHeight="true" outlineLevel="0" collapsed="false">
      <c r="A58" s="17" t="n">
        <v>33</v>
      </c>
      <c r="B58" s="17"/>
      <c r="C58" s="17"/>
      <c r="D58" s="17"/>
      <c r="E58" s="8"/>
      <c r="F58" s="8"/>
      <c r="G58" s="8"/>
      <c r="H58" s="17"/>
      <c r="I58" s="32"/>
    </row>
    <row r="59" customFormat="false" ht="19.5" hidden="false" customHeight="true" outlineLevel="0" collapsed="false">
      <c r="A59" s="17" t="n">
        <v>34</v>
      </c>
      <c r="B59" s="17"/>
      <c r="C59" s="17"/>
      <c r="D59" s="17"/>
      <c r="E59" s="8"/>
      <c r="F59" s="8"/>
      <c r="G59" s="8"/>
      <c r="H59" s="17"/>
      <c r="I59" s="32"/>
    </row>
    <row r="60" customFormat="false" ht="19.5" hidden="false" customHeight="true" outlineLevel="0" collapsed="false">
      <c r="A60" s="17" t="n">
        <v>35</v>
      </c>
      <c r="B60" s="17"/>
      <c r="C60" s="17"/>
      <c r="D60" s="17"/>
      <c r="E60" s="8"/>
      <c r="F60" s="8"/>
      <c r="G60" s="8"/>
      <c r="H60" s="17"/>
      <c r="I60" s="32"/>
    </row>
    <row r="61" customFormat="false" ht="19.5" hidden="false" customHeight="true" outlineLevel="0" collapsed="false">
      <c r="A61" s="17" t="n">
        <v>36</v>
      </c>
      <c r="B61" s="17"/>
      <c r="C61" s="17"/>
      <c r="D61" s="17"/>
      <c r="E61" s="8"/>
      <c r="F61" s="8"/>
      <c r="G61" s="8"/>
      <c r="H61" s="17"/>
      <c r="I61" s="32"/>
    </row>
    <row r="62" customFormat="false" ht="19.5" hidden="false" customHeight="true" outlineLevel="0" collapsed="false">
      <c r="A62" s="17" t="n">
        <v>37</v>
      </c>
      <c r="B62" s="17"/>
      <c r="C62" s="17"/>
      <c r="D62" s="17"/>
      <c r="E62" s="8"/>
      <c r="F62" s="8"/>
      <c r="G62" s="8"/>
      <c r="H62" s="17"/>
      <c r="I62" s="32"/>
    </row>
    <row r="63" customFormat="false" ht="19.5" hidden="false" customHeight="true" outlineLevel="0" collapsed="false">
      <c r="A63" s="17" t="n">
        <v>38</v>
      </c>
      <c r="B63" s="17"/>
      <c r="C63" s="17"/>
      <c r="D63" s="17"/>
      <c r="E63" s="8"/>
      <c r="F63" s="8"/>
      <c r="G63" s="8"/>
      <c r="H63" s="17"/>
      <c r="I63" s="32"/>
    </row>
    <row r="64" customFormat="false" ht="19.5" hidden="false" customHeight="true" outlineLevel="0" collapsed="false">
      <c r="A64" s="17" t="n">
        <v>39</v>
      </c>
      <c r="B64" s="17"/>
      <c r="C64" s="17"/>
      <c r="D64" s="17"/>
      <c r="E64" s="8"/>
      <c r="F64" s="8"/>
      <c r="G64" s="8"/>
      <c r="H64" s="17"/>
      <c r="I64" s="32"/>
    </row>
    <row r="65" customFormat="false" ht="19.5" hidden="false" customHeight="true" outlineLevel="0" collapsed="false">
      <c r="A65" s="17" t="n">
        <v>40</v>
      </c>
      <c r="B65" s="17"/>
      <c r="C65" s="17"/>
      <c r="D65" s="17"/>
      <c r="E65" s="8"/>
      <c r="F65" s="8"/>
      <c r="G65" s="8"/>
      <c r="H65" s="17"/>
      <c r="I65" s="32"/>
    </row>
    <row r="66" customFormat="false" ht="19.5" hidden="false" customHeight="true" outlineLevel="0" collapsed="false">
      <c r="A66" s="17" t="n">
        <v>41</v>
      </c>
      <c r="B66" s="17"/>
      <c r="C66" s="17"/>
      <c r="D66" s="17"/>
      <c r="E66" s="8"/>
      <c r="F66" s="8"/>
      <c r="G66" s="8"/>
      <c r="H66" s="17"/>
      <c r="I66" s="32"/>
    </row>
    <row r="67" customFormat="false" ht="19.5" hidden="false" customHeight="true" outlineLevel="0" collapsed="false">
      <c r="A67" s="17" t="n">
        <v>42</v>
      </c>
      <c r="B67" s="17"/>
      <c r="C67" s="17"/>
      <c r="D67" s="17"/>
      <c r="E67" s="8"/>
      <c r="F67" s="8"/>
      <c r="G67" s="8"/>
      <c r="H67" s="17"/>
      <c r="I67" s="32"/>
    </row>
    <row r="68" customFormat="false" ht="19.5" hidden="false" customHeight="true" outlineLevel="0" collapsed="false">
      <c r="A68" s="17" t="n">
        <v>43</v>
      </c>
      <c r="B68" s="17"/>
      <c r="C68" s="17"/>
      <c r="D68" s="17"/>
      <c r="E68" s="8"/>
      <c r="F68" s="8"/>
      <c r="G68" s="8"/>
      <c r="H68" s="17"/>
      <c r="I68" s="32"/>
    </row>
    <row r="69" customFormat="false" ht="19.5" hidden="false" customHeight="true" outlineLevel="0" collapsed="false">
      <c r="A69" s="17" t="n">
        <v>44</v>
      </c>
      <c r="B69" s="17"/>
      <c r="C69" s="17"/>
      <c r="D69" s="17"/>
      <c r="E69" s="8"/>
      <c r="F69" s="8"/>
      <c r="G69" s="8"/>
      <c r="H69" s="17"/>
      <c r="I69" s="32"/>
    </row>
    <row r="70" customFormat="false" ht="19.5" hidden="false" customHeight="true" outlineLevel="0" collapsed="false">
      <c r="A70" s="17" t="n">
        <v>45</v>
      </c>
      <c r="B70" s="17"/>
      <c r="C70" s="17"/>
      <c r="D70" s="17"/>
      <c r="E70" s="8"/>
      <c r="F70" s="8"/>
      <c r="G70" s="8"/>
      <c r="H70" s="17"/>
      <c r="I70" s="32"/>
    </row>
    <row r="71" customFormat="false" ht="19.5" hidden="false" customHeight="true" outlineLevel="0" collapsed="false">
      <c r="A71" s="17" t="n">
        <v>46</v>
      </c>
      <c r="B71" s="17"/>
      <c r="C71" s="17"/>
      <c r="D71" s="17"/>
      <c r="E71" s="8"/>
      <c r="F71" s="8"/>
      <c r="G71" s="8"/>
      <c r="H71" s="17"/>
      <c r="I71" s="32"/>
    </row>
    <row r="72" customFormat="false" ht="19.5" hidden="false" customHeight="true" outlineLevel="0" collapsed="false">
      <c r="A72" s="17" t="n">
        <v>47</v>
      </c>
      <c r="B72" s="17"/>
      <c r="C72" s="17"/>
      <c r="D72" s="17"/>
      <c r="E72" s="8"/>
      <c r="F72" s="8"/>
      <c r="G72" s="8"/>
      <c r="H72" s="17"/>
      <c r="I72" s="32"/>
    </row>
    <row r="73" customFormat="false" ht="19.5" hidden="false" customHeight="true" outlineLevel="0" collapsed="false">
      <c r="A73" s="17" t="n">
        <v>48</v>
      </c>
      <c r="B73" s="17"/>
      <c r="C73" s="17"/>
      <c r="D73" s="17"/>
      <c r="E73" s="8"/>
      <c r="F73" s="8"/>
      <c r="G73" s="8"/>
      <c r="H73" s="17"/>
      <c r="I73" s="32"/>
    </row>
    <row r="74" customFormat="false" ht="19.5" hidden="false" customHeight="true" outlineLevel="0" collapsed="false">
      <c r="A74" s="17" t="n">
        <v>49</v>
      </c>
      <c r="B74" s="17"/>
      <c r="C74" s="17"/>
      <c r="D74" s="17"/>
      <c r="E74" s="8"/>
      <c r="F74" s="8"/>
      <c r="G74" s="8"/>
      <c r="H74" s="17"/>
      <c r="I74" s="32"/>
    </row>
    <row r="75" customFormat="false" ht="19.5" hidden="false" customHeight="true" outlineLevel="0" collapsed="false">
      <c r="A75" s="17" t="n">
        <v>50</v>
      </c>
      <c r="B75" s="17"/>
      <c r="C75" s="17"/>
      <c r="D75" s="17"/>
      <c r="E75" s="8"/>
      <c r="F75" s="8"/>
      <c r="G75" s="8"/>
      <c r="H75" s="17"/>
      <c r="I75" s="32"/>
    </row>
    <row r="76" customFormat="false" ht="19.5" hidden="false" customHeight="true" outlineLevel="0" collapsed="false">
      <c r="A76" s="17" t="n">
        <v>51</v>
      </c>
      <c r="B76" s="17"/>
      <c r="C76" s="17"/>
      <c r="D76" s="17"/>
      <c r="E76" s="8"/>
      <c r="F76" s="8"/>
      <c r="G76" s="8"/>
      <c r="H76" s="17"/>
      <c r="I76" s="32"/>
    </row>
    <row r="77" customFormat="false" ht="19.5" hidden="false" customHeight="true" outlineLevel="0" collapsed="false">
      <c r="A77" s="17" t="n">
        <v>52</v>
      </c>
      <c r="B77" s="17"/>
      <c r="C77" s="17"/>
      <c r="D77" s="17"/>
      <c r="E77" s="8"/>
      <c r="F77" s="8"/>
      <c r="G77" s="8"/>
      <c r="H77" s="17"/>
      <c r="I77" s="32"/>
    </row>
    <row r="78" customFormat="false" ht="19.5" hidden="false" customHeight="true" outlineLevel="0" collapsed="false">
      <c r="A78" s="17" t="n">
        <v>53</v>
      </c>
      <c r="B78" s="17"/>
      <c r="C78" s="17"/>
      <c r="D78" s="17"/>
      <c r="E78" s="8"/>
      <c r="F78" s="8"/>
      <c r="G78" s="8"/>
      <c r="H78" s="17"/>
      <c r="I78" s="32"/>
    </row>
    <row r="79" customFormat="false" ht="19.5" hidden="false" customHeight="true" outlineLevel="0" collapsed="false">
      <c r="A79" s="17" t="n">
        <v>54</v>
      </c>
      <c r="B79" s="17"/>
      <c r="C79" s="17"/>
      <c r="D79" s="17"/>
      <c r="E79" s="8"/>
      <c r="F79" s="8"/>
      <c r="G79" s="8"/>
      <c r="H79" s="17"/>
      <c r="I79" s="32"/>
    </row>
    <row r="80" customFormat="false" ht="19.5" hidden="false" customHeight="true" outlineLevel="0" collapsed="false">
      <c r="A80" s="17" t="n">
        <v>55</v>
      </c>
      <c r="B80" s="17"/>
      <c r="C80" s="17"/>
      <c r="D80" s="17"/>
      <c r="E80" s="8"/>
      <c r="F80" s="8"/>
      <c r="G80" s="8"/>
      <c r="H80" s="17"/>
      <c r="I80" s="32"/>
    </row>
    <row r="81" customFormat="false" ht="19.5" hidden="false" customHeight="true" outlineLevel="0" collapsed="false">
      <c r="A81" s="17" t="n">
        <v>56</v>
      </c>
      <c r="B81" s="17"/>
      <c r="C81" s="17"/>
      <c r="D81" s="17"/>
      <c r="E81" s="8"/>
      <c r="F81" s="8"/>
      <c r="G81" s="8"/>
      <c r="H81" s="17"/>
      <c r="I81" s="32"/>
    </row>
    <row r="82" customFormat="false" ht="19.5" hidden="false" customHeight="true" outlineLevel="0" collapsed="false">
      <c r="A82" s="17" t="n">
        <v>57</v>
      </c>
      <c r="B82" s="17"/>
      <c r="C82" s="17"/>
      <c r="D82" s="17"/>
      <c r="E82" s="8"/>
      <c r="F82" s="8"/>
      <c r="G82" s="8"/>
      <c r="H82" s="17"/>
      <c r="I82" s="32"/>
    </row>
    <row r="83" customFormat="false" ht="19.5" hidden="false" customHeight="true" outlineLevel="0" collapsed="false">
      <c r="A83" s="17" t="n">
        <v>58</v>
      </c>
      <c r="B83" s="17"/>
      <c r="C83" s="17"/>
      <c r="D83" s="17"/>
      <c r="E83" s="8"/>
      <c r="F83" s="8"/>
      <c r="G83" s="8"/>
      <c r="H83" s="17"/>
      <c r="I83" s="32"/>
    </row>
    <row r="84" customFormat="false" ht="19.5" hidden="false" customHeight="true" outlineLevel="0" collapsed="false">
      <c r="A84" s="17" t="n">
        <v>59</v>
      </c>
      <c r="B84" s="17"/>
      <c r="C84" s="17"/>
      <c r="D84" s="17"/>
      <c r="E84" s="8"/>
      <c r="F84" s="8"/>
      <c r="G84" s="8"/>
      <c r="H84" s="17"/>
      <c r="I84" s="32"/>
    </row>
    <row r="85" customFormat="false" ht="19.5" hidden="false" customHeight="true" outlineLevel="0" collapsed="false">
      <c r="A85" s="17" t="n">
        <v>60</v>
      </c>
      <c r="B85" s="17"/>
      <c r="C85" s="17"/>
      <c r="D85" s="17"/>
      <c r="E85" s="8"/>
      <c r="F85" s="8"/>
      <c r="G85" s="8"/>
      <c r="H85" s="17"/>
      <c r="I85" s="32"/>
    </row>
  </sheetData>
  <mergeCells count="4">
    <mergeCell ref="A1:I1"/>
    <mergeCell ref="A2:I2"/>
    <mergeCell ref="A4:I4"/>
    <mergeCell ref="A23:I23"/>
  </mergeCells>
  <dataValidations count="4">
    <dataValidation allowBlank="true" errorStyle="stop" operator="between" showDropDown="false" showErrorMessage="false" showInputMessage="false" sqref="E7:E21" type="list">
      <formula1>"접수,작업중,완료,변경요청"</formula1>
      <formula2>0</formula2>
    </dataValidation>
    <dataValidation allowBlank="true" errorStyle="stop" operator="between" showDropDown="false" showErrorMessage="false" showInputMessage="false" sqref="G7:G21" type="list">
      <formula1>"—,이 버전으로 복원함,이 버전에서 복원됨"</formula1>
      <formula2>0</formula2>
    </dataValidation>
    <dataValidation allowBlank="true" errorStyle="stop" operator="between" showDropDown="false" showErrorMessage="false" showInputMessage="false" sqref="H26:H85" type="list">
      <formula1>"사장님,담당자,시스템"</formula1>
      <formula2>0</formula2>
    </dataValidation>
    <dataValidation allowBlank="true" errorStyle="stop" operator="between" showDropDown="false" showErrorMessage="false" showInputMessage="false" sqref="I26:I85" type="list">
      <formula1>"확인,보류,반영완료"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2026-08-15T02:52:34Z</dcterms:created>
  <dc:creator>openpyxl</dc:creator>
  <dc:description/>
  <dc:language>en-US</dc:language>
  <cp:lastModifiedBy/>
  <dcterms:modified xsi:type="dcterms:W3CDTF">2026-08-15T02:52:34Z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